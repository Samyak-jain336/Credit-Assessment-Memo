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ya\OneDrive\Documents\GitHub\CamGeneration\durlax\"/>
    </mc:Choice>
  </mc:AlternateContent>
  <xr:revisionPtr revIDLastSave="0" documentId="13_ncr:1_{C23D47D4-6C02-4625-929A-A4D09C76D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C13" i="1" s="1"/>
  <c r="D93" i="6"/>
  <c r="D13" i="1" s="1"/>
  <c r="B93" i="6"/>
  <c r="B13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K21" i="2" s="1"/>
  <c r="B17" i="2"/>
  <c r="C4" i="2"/>
  <c r="D4" i="2"/>
  <c r="E4" i="2"/>
  <c r="E5" i="2"/>
  <c r="E23" i="2"/>
  <c r="F4" i="2"/>
  <c r="G4" i="2"/>
  <c r="H4" i="2"/>
  <c r="I4" i="2"/>
  <c r="I5" i="2"/>
  <c r="J4" i="2"/>
  <c r="K24" i="2" s="1"/>
  <c r="J5" i="2"/>
  <c r="K4" i="2"/>
  <c r="K23" i="2" s="1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20" i="2" s="1"/>
  <c r="E4" i="1"/>
  <c r="E6" i="1" s="1"/>
  <c r="E19" i="1" s="1"/>
  <c r="F4" i="1"/>
  <c r="F20" i="2" s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J14" i="1" s="1"/>
  <c r="K12" i="1"/>
  <c r="K13" i="1" s="1"/>
  <c r="C15" i="1"/>
  <c r="C14" i="1" s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J15" i="1"/>
  <c r="K15" i="1"/>
  <c r="B15" i="1"/>
  <c r="B14" i="1" s="1"/>
  <c r="B7" i="1"/>
  <c r="B4" i="1"/>
  <c r="B20" i="2" s="1"/>
  <c r="A1" i="1"/>
  <c r="A1" i="3" s="1"/>
  <c r="E1" i="6"/>
  <c r="H1" i="1" s="1"/>
  <c r="E1" i="2"/>
  <c r="E1" i="3"/>
  <c r="H16" i="2"/>
  <c r="D16" i="2"/>
  <c r="C23" i="2"/>
  <c r="C16" i="2"/>
  <c r="F16" i="2"/>
  <c r="H23" i="2"/>
  <c r="D23" i="2"/>
  <c r="J6" i="1"/>
  <c r="J19" i="1"/>
  <c r="G6" i="1"/>
  <c r="G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I21" i="2"/>
  <c r="H21" i="2"/>
  <c r="G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J20" i="2"/>
  <c r="L12" i="1"/>
  <c r="L13" i="1" s="1"/>
  <c r="L14" i="1" s="1"/>
  <c r="L25" i="1" s="1"/>
  <c r="L11" i="1"/>
  <c r="L10" i="1"/>
  <c r="N11" i="1" s="1"/>
  <c r="L6" i="1"/>
  <c r="L19" i="1" s="1"/>
  <c r="L24" i="1" s="1"/>
  <c r="A1" i="2"/>
  <c r="A1" i="4" s="1"/>
  <c r="H23" i="1"/>
  <c r="L5" i="1"/>
  <c r="K14" i="1" l="1"/>
  <c r="J16" i="2"/>
  <c r="G16" i="2"/>
  <c r="M11" i="1"/>
  <c r="I23" i="1"/>
  <c r="E13" i="1"/>
  <c r="I24" i="2"/>
  <c r="K25" i="1"/>
  <c r="M25" i="1" s="1"/>
  <c r="M14" i="1" s="1"/>
  <c r="I23" i="2"/>
  <c r="E20" i="2"/>
  <c r="H24" i="2"/>
  <c r="D6" i="1"/>
  <c r="D19" i="1" s="1"/>
  <c r="H24" i="1" s="1"/>
  <c r="C20" i="2"/>
  <c r="L8" i="1"/>
  <c r="J24" i="2"/>
  <c r="G23" i="2"/>
  <c r="B16" i="2"/>
  <c r="K6" i="1"/>
  <c r="K19" i="1" s="1"/>
  <c r="G24" i="2"/>
  <c r="F21" i="2"/>
  <c r="C24" i="2"/>
  <c r="J23" i="1"/>
  <c r="N23" i="1" s="1"/>
  <c r="N4" i="1" s="1"/>
  <c r="K24" i="1"/>
  <c r="M24" i="1" s="1"/>
  <c r="L9" i="1"/>
  <c r="E16" i="2"/>
  <c r="L4" i="1"/>
  <c r="L23" i="1" s="1"/>
  <c r="I6" i="1"/>
  <c r="I19" i="1" s="1"/>
  <c r="F24" i="2"/>
  <c r="E24" i="2"/>
  <c r="L7" i="1"/>
  <c r="J23" i="2"/>
  <c r="D24" i="2"/>
  <c r="J25" i="1"/>
  <c r="M9" i="1"/>
  <c r="N9" i="1"/>
  <c r="N8" i="1"/>
  <c r="M8" i="1"/>
  <c r="H25" i="1"/>
  <c r="I25" i="1"/>
  <c r="I20" i="2"/>
  <c r="H20" i="2"/>
  <c r="K23" i="1"/>
  <c r="M23" i="1" s="1"/>
  <c r="M4" i="1" s="1"/>
  <c r="H6" i="1"/>
  <c r="H19" i="1" s="1"/>
  <c r="I24" i="1" s="1"/>
  <c r="F6" i="1"/>
  <c r="F19" i="1" s="1"/>
  <c r="E1" i="4"/>
  <c r="J24" i="1" l="1"/>
  <c r="N24" i="1" s="1"/>
  <c r="N6" i="1" s="1"/>
  <c r="N25" i="1"/>
  <c r="N14" i="1" s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<sst xmlns="http://schemas.openxmlformats.org/spreadsheetml/2006/main" count="133" uniqueCount="81">
  <si>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</si>
  <si>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</si>
  <si>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</si>
  <si>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</si>
  <si>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</si>
  <si>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</si>
  <si>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</si>
  <si>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</si>
  <si>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</si>
  <si>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</si>
  <si>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</si>
  <si>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</si>
  <si>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</si>
  <si>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</si>
  <si>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</si>
  <si>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</si>
  <si>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</si>
  <si>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</si>
  <si>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</si>
  <si>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</si>
  <si>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</si>
  <si>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</si>
  <si>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</si>
  <si>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</si>
  <si>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</si>
  <si>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</si>
  <si>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</si>
  <si>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</si>
  <si>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</si>
  <si>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</si>
  <si>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</si>
  <si>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</si>
  <si>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</si>
  <si>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</si>
  <si>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</si>
  <si>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</si>
  <si>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</si>
  <si>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</si>
  <si>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</si>
  <si>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</si>
  <si>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</si>
  <si>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</si>
  <si>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</si>
  <si>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</si>
  <si>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</si>
  <si>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</si>
  <si>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</si>
  <si>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</si>
  <si>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</si>
  <si>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</si>
  <si>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</si>
  <si>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</si>
  <si>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</si>
  <si>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</si>
  <si>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DURLAX TOP SURFACE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</si>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</sst>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C17" sqref="C17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DURLAX TOP SURFACE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0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30.37</v>
      </c>
      <c r="F4" s="1">
        <f>'Data Sheet'!F17</f>
        <v>19.53</v>
      </c>
      <c r="G4" s="1">
        <f>'Data Sheet'!G17</f>
        <v>47.34</v>
      </c>
      <c r="H4" s="1">
        <f>'Data Sheet'!H17</f>
        <v>66.650000000000006</v>
      </c>
      <c r="I4" s="1">
        <f>'Data Sheet'!I17</f>
        <v>90.75</v>
      </c>
      <c r="J4" s="1">
        <f>'Data Sheet'!J17</f>
        <v>122.56</v>
      </c>
      <c r="K4" s="1">
        <f>'Data Sheet'!K17</f>
        <v>184.55</v>
      </c>
      <c r="L4" s="1">
        <f>SUM(Quarters!H4:K4)</f>
        <v>0</v>
      </c>
      <c r="M4" s="1">
        <f>$K4+M23*K4</f>
        <v>277.89411308746742</v>
      </c>
      <c r="N4" s="1">
        <f>$K4+N23*L4</f>
        <v>184.55</v>
      </c>
    </row>
    <row r="5" spans="1:14" x14ac:dyDescent="0.3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25.729999999999997</v>
      </c>
      <c r="F5" s="6">
        <f>SUM('Data Sheet'!F18,'Data Sheet'!F20:F24, -1*'Data Sheet'!F19)</f>
        <v>14.940000000000001</v>
      </c>
      <c r="G5" s="6">
        <f>SUM('Data Sheet'!G18,'Data Sheet'!G20:G24, -1*'Data Sheet'!G19)</f>
        <v>40.74</v>
      </c>
      <c r="H5" s="6">
        <f>SUM('Data Sheet'!H18,'Data Sheet'!H20:H24, -1*'Data Sheet'!H19)</f>
        <v>58.830000000000013</v>
      </c>
      <c r="I5" s="6">
        <f>SUM('Data Sheet'!I18,'Data Sheet'!I20:I24, -1*'Data Sheet'!I19)</f>
        <v>79.72</v>
      </c>
      <c r="J5" s="6">
        <f>SUM('Data Sheet'!J18,'Data Sheet'!J20:J24, -1*'Data Sheet'!J19)</f>
        <v>108.56</v>
      </c>
      <c r="K5" s="6">
        <f>SUM('Data Sheet'!K18,'Data Sheet'!K20:K24, -1*'Data Sheet'!K19)</f>
        <v>162.32000000000002</v>
      </c>
      <c r="L5" s="6">
        <f>SUM(Quarters!H5:K5)</f>
        <v>0</v>
      </c>
      <c r="M5" s="6">
        <f t="shared" ref="M5:N5" si="0">M4-M6</f>
        <v>244.88432123979811</v>
      </c>
      <c r="N5" s="6">
        <f t="shared" si="0"/>
        <v>184.55</v>
      </c>
    </row>
    <row r="6" spans="1:14" s="2" customFormat="1" x14ac:dyDescent="0.3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4.6400000000000041</v>
      </c>
      <c r="F6" s="1">
        <f t="shared" si="1"/>
        <v>4.59</v>
      </c>
      <c r="G6" s="1">
        <f t="shared" si="1"/>
        <v>6.6000000000000014</v>
      </c>
      <c r="H6" s="1">
        <f t="shared" si="1"/>
        <v>7.8199999999999932</v>
      </c>
      <c r="I6" s="1">
        <f t="shared" si="1"/>
        <v>11.030000000000001</v>
      </c>
      <c r="J6" s="1">
        <f t="shared" si="1"/>
        <v>14</v>
      </c>
      <c r="K6" s="1">
        <f t="shared" si="1"/>
        <v>22.22999999999999</v>
      </c>
      <c r="L6" s="1">
        <f>SUM(Quarters!H6:K6)</f>
        <v>0</v>
      </c>
      <c r="M6" s="1">
        <f>M4*M24</f>
        <v>33.009791847669298</v>
      </c>
      <c r="N6" s="1">
        <f>N4*N24</f>
        <v>0</v>
      </c>
    </row>
    <row r="7" spans="1:14" x14ac:dyDescent="0.3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0.18</v>
      </c>
      <c r="F7" s="6">
        <f>'Data Sheet'!F25</f>
        <v>0.19</v>
      </c>
      <c r="G7" s="6">
        <f>'Data Sheet'!G25</f>
        <v>0.06</v>
      </c>
      <c r="H7" s="6">
        <f>'Data Sheet'!H25</f>
        <v>0.1</v>
      </c>
      <c r="I7" s="6">
        <f>'Data Sheet'!I25</f>
        <v>-0.88</v>
      </c>
      <c r="J7" s="6">
        <f>'Data Sheet'!J25</f>
        <v>2.17</v>
      </c>
      <c r="K7" s="6">
        <f>'Data Sheet'!K25</f>
        <v>2.3199999999999998</v>
      </c>
      <c r="L7" s="6">
        <f>SUM(Quarters!H7:K7)</f>
        <v>0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2.29</v>
      </c>
      <c r="F8" s="6">
        <f>'Data Sheet'!F26</f>
        <v>2.16</v>
      </c>
      <c r="G8" s="6">
        <f>'Data Sheet'!G26</f>
        <v>2.16</v>
      </c>
      <c r="H8" s="6">
        <f>'Data Sheet'!H26</f>
        <v>1.61</v>
      </c>
      <c r="I8" s="6">
        <f>'Data Sheet'!I26</f>
        <v>2.2400000000000002</v>
      </c>
      <c r="J8" s="6">
        <f>'Data Sheet'!J26</f>
        <v>2.4500000000000002</v>
      </c>
      <c r="K8" s="6">
        <f>'Data Sheet'!K26</f>
        <v>2.46</v>
      </c>
      <c r="L8" s="6">
        <f>SUM(Quarters!H8:K8)</f>
        <v>0</v>
      </c>
      <c r="M8" s="6">
        <f>+$L8</f>
        <v>0</v>
      </c>
      <c r="N8" s="6">
        <f>+$L8</f>
        <v>0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3.12</v>
      </c>
      <c r="F9" s="6">
        <f>'Data Sheet'!F27</f>
        <v>2.54</v>
      </c>
      <c r="G9" s="6">
        <f>'Data Sheet'!G27</f>
        <v>3.27</v>
      </c>
      <c r="H9" s="6">
        <f>'Data Sheet'!H27</f>
        <v>3.44</v>
      </c>
      <c r="I9" s="6">
        <f>'Data Sheet'!I27</f>
        <v>3.79</v>
      </c>
      <c r="J9" s="6">
        <f>'Data Sheet'!J27</f>
        <v>3.75</v>
      </c>
      <c r="K9" s="6">
        <f>'Data Sheet'!K27</f>
        <v>4.54</v>
      </c>
      <c r="L9" s="6">
        <f>SUM(Quarters!H9:K9)</f>
        <v>0</v>
      </c>
      <c r="M9" s="6">
        <f>+$L9</f>
        <v>0</v>
      </c>
      <c r="N9" s="6">
        <f>+$L9</f>
        <v>0</v>
      </c>
    </row>
    <row r="10" spans="1:14" x14ac:dyDescent="0.3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-0.59</v>
      </c>
      <c r="F10" s="6">
        <f>'Data Sheet'!F28</f>
        <v>0.08</v>
      </c>
      <c r="G10" s="6">
        <f>'Data Sheet'!G28</f>
        <v>1.23</v>
      </c>
      <c r="H10" s="6">
        <f>'Data Sheet'!H28</f>
        <v>2.87</v>
      </c>
      <c r="I10" s="6">
        <f>'Data Sheet'!I28</f>
        <v>4.12</v>
      </c>
      <c r="J10" s="6">
        <f>'Data Sheet'!J28</f>
        <v>9.9700000000000006</v>
      </c>
      <c r="K10" s="6">
        <f>'Data Sheet'!K28</f>
        <v>17.55</v>
      </c>
      <c r="L10" s="6">
        <f>SUM(Quarters!H10:K10)</f>
        <v>0</v>
      </c>
      <c r="M10" s="6">
        <f>M6+M7-SUM(M8:M9)</f>
        <v>33.009791847669298</v>
      </c>
      <c r="N10" s="6">
        <f>N6+N7-SUM(N8:N9)</f>
        <v>0</v>
      </c>
    </row>
    <row r="11" spans="1:14" x14ac:dyDescent="0.3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0.49</v>
      </c>
      <c r="F11" s="6">
        <f>'Data Sheet'!F29</f>
        <v>0.9</v>
      </c>
      <c r="G11" s="6">
        <f>'Data Sheet'!G29</f>
        <v>0.43</v>
      </c>
      <c r="H11" s="6">
        <f>'Data Sheet'!H29</f>
        <v>0.25</v>
      </c>
      <c r="I11" s="6">
        <f>'Data Sheet'!I29</f>
        <v>0.13</v>
      </c>
      <c r="J11" s="6">
        <f>'Data Sheet'!J29</f>
        <v>2.4700000000000002</v>
      </c>
      <c r="K11" s="6">
        <f>'Data Sheet'!K29</f>
        <v>4.91</v>
      </c>
      <c r="L11" s="6">
        <f>SUM(Quarters!H11:K11)</f>
        <v>0</v>
      </c>
      <c r="M11" s="7">
        <f>IF($L10&gt;0,$L11/$L10,0)</f>
        <v>0</v>
      </c>
      <c r="N11" s="7">
        <f>IF($L10&gt;0,$L11/$L10,0)</f>
        <v>0</v>
      </c>
    </row>
    <row r="12" spans="1:14" s="2" customFormat="1" x14ac:dyDescent="0.3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-1.08</v>
      </c>
      <c r="F12" s="1">
        <f>'Data Sheet'!F30</f>
        <v>-0.83</v>
      </c>
      <c r="G12" s="1">
        <f>'Data Sheet'!G30</f>
        <v>0.81</v>
      </c>
      <c r="H12" s="1">
        <f>'Data Sheet'!H30</f>
        <v>2.63</v>
      </c>
      <c r="I12" s="1">
        <f>'Data Sheet'!I30</f>
        <v>3.99</v>
      </c>
      <c r="J12" s="1">
        <f>'Data Sheet'!J30</f>
        <v>7.5</v>
      </c>
      <c r="K12" s="1">
        <f>'Data Sheet'!K30</f>
        <v>12.64</v>
      </c>
      <c r="L12" s="1">
        <f>SUM(Quarters!H12:K12)</f>
        <v>0</v>
      </c>
      <c r="M12" s="1">
        <f>M10-M11*M10</f>
        <v>33.009791847669298</v>
      </c>
      <c r="N12" s="1">
        <f>N10-N11*N10</f>
        <v>0</v>
      </c>
    </row>
    <row r="13" spans="1:14" x14ac:dyDescent="0.3">
      <c r="A13" t="s">
        <v>48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-36.000000000000007</v>
      </c>
      <c r="F13" s="6">
        <f>IF('Data Sheet'!F93&gt;0,F12/'Data Sheet'!F93,0)</f>
        <v>-27.666666666666668</v>
      </c>
      <c r="G13" s="6">
        <f>IF('Data Sheet'!G93&gt;0,G12/'Data Sheet'!G93,0)</f>
        <v>27.000000000000004</v>
      </c>
      <c r="H13" s="6">
        <f>IF('Data Sheet'!H93&gt;0,H12/'Data Sheet'!H93,0)</f>
        <v>1.2175925925925926</v>
      </c>
      <c r="I13" s="6">
        <f>IF('Data Sheet'!I93&gt;0,I12/'Data Sheet'!I93,0)</f>
        <v>1.8472222222222221</v>
      </c>
      <c r="J13" s="6">
        <f>IF('Data Sheet'!J93&gt;0,J12/'Data Sheet'!J93,0)</f>
        <v>2.5951557093425603</v>
      </c>
      <c r="K13" s="6">
        <f>IF('Data Sheet'!K93&gt;0,K12/'Data Sheet'!K93,0)</f>
        <v>4.3737024221453291</v>
      </c>
      <c r="L13" s="6">
        <f>IF('Data Sheet'!$B6&gt;0,'Profit &amp; Loss'!L12/'Data Sheet'!$B6,0)</f>
        <v>0</v>
      </c>
      <c r="M13" s="6">
        <f>IF('Data Sheet'!$B6&gt;0,'Profit &amp; Loss'!M12/'Data Sheet'!$B6,0)</f>
        <v>11.40813373611088</v>
      </c>
      <c r="N13" s="6">
        <f>IF('Data Sheet'!$B6&gt;0,'Profit &amp; Loss'!N12/'Data Sheet'!$B6,0)</f>
        <v>0</v>
      </c>
    </row>
    <row r="14" spans="1:14" x14ac:dyDescent="0.3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 t="str">
        <f t="shared" si="2"/>
        <v/>
      </c>
      <c r="H14" s="6" t="str">
        <f t="shared" si="2"/>
        <v/>
      </c>
      <c r="I14" s="6" t="str">
        <f t="shared" si="2"/>
        <v/>
      </c>
      <c r="J14" s="6">
        <f t="shared" si="2"/>
        <v>11.949186666666668</v>
      </c>
      <c r="K14" s="6">
        <f t="shared" si="2"/>
        <v>10.288765822784809</v>
      </c>
      <c r="L14" s="6">
        <f t="shared" ref="L14" si="3">IF(L13&gt;0,L15/L13,0)</f>
        <v>0</v>
      </c>
      <c r="M14" s="6">
        <f>M25</f>
        <v>11.118976244725738</v>
      </c>
      <c r="N14" s="6">
        <f>N25</f>
        <v>0</v>
      </c>
    </row>
    <row r="15" spans="1:14" s="2" customFormat="1" x14ac:dyDescent="0.3">
      <c r="A15" s="2" t="s">
        <v>49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0</v>
      </c>
      <c r="I15" s="1">
        <f>'Data Sheet'!I90</f>
        <v>0</v>
      </c>
      <c r="J15" s="1">
        <f>'Data Sheet'!J90</f>
        <v>31.01</v>
      </c>
      <c r="K15" s="1">
        <f>'Data Sheet'!K90</f>
        <v>45</v>
      </c>
      <c r="L15" s="1">
        <f>'Data Sheet'!B8</f>
        <v>47.15</v>
      </c>
      <c r="M15" s="8">
        <f>M13*M14</f>
        <v>126.84676800847116</v>
      </c>
      <c r="N15" s="9">
        <f>N13*N14</f>
        <v>0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0.15278235100428067</v>
      </c>
      <c r="F19" s="5">
        <f t="shared" si="5"/>
        <v>0.23502304147465436</v>
      </c>
      <c r="G19" s="5">
        <f t="shared" si="5"/>
        <v>0.13941698352344742</v>
      </c>
      <c r="H19" s="5">
        <f t="shared" si="5"/>
        <v>0.11732933233308315</v>
      </c>
      <c r="I19" s="5">
        <f t="shared" si="5"/>
        <v>0.12154269972451792</v>
      </c>
      <c r="J19" s="5">
        <f t="shared" si="5"/>
        <v>0.11422976501305483</v>
      </c>
      <c r="K19" s="5">
        <f t="shared" si="5"/>
        <v>0.12045516120292597</v>
      </c>
      <c r="L19" s="5">
        <f t="shared" si="4"/>
        <v>0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>
        <f>IF(F4=0,"",POWER($K4/F4,1/5)-1)</f>
        <v>0.56704822288481238</v>
      </c>
      <c r="K23" s="5">
        <f>IF(H4=0,"",POWER($K4/H4, 1/3)-1)</f>
        <v>0.40422908879494468</v>
      </c>
      <c r="L23" s="5">
        <f>IF(ISERROR(MAX(IF(J4=0,"",(K4-J4)/J4),IF(K4=0,"",(L4-K4)/K4))),"",MAX(IF(J4=0,"",(K4-J4)/J4),IF(K4=0,"",(L4-K4)/K4)))</f>
        <v>0.50579308093994779</v>
      </c>
      <c r="M23" s="16">
        <f>MAX(K23:L23)</f>
        <v>0.50579308093994779</v>
      </c>
      <c r="N23" s="16">
        <f>MIN(H23:L23)</f>
        <v>0.40422908879494468</v>
      </c>
    </row>
    <row r="24" spans="1:14" x14ac:dyDescent="0.3">
      <c r="G24" t="s">
        <v>18</v>
      </c>
      <c r="H24" s="5">
        <f>IF(SUM(B4:$K$4)=0,"",SUMPRODUCT(B19:$K$19,B4:$K$4)/SUM(B4:$K$4))</f>
        <v>0.12623052959501557</v>
      </c>
      <c r="I24" s="5">
        <f>IF(SUM(E4:$K$4)=0,"",SUMPRODUCT(E19:$K$19,E4:$K$4)/SUM(E4:$K$4))</f>
        <v>0.12623052959501557</v>
      </c>
      <c r="J24" s="5">
        <f>IF(SUM(G4:$K$4)=0,"",SUMPRODUCT(G19:$K$19,G4:$K$4)/SUM(G4:$K$4))</f>
        <v>0.12050405392204744</v>
      </c>
      <c r="K24" s="5">
        <f>IF(SUM(I4:$K$4)=0, "", SUMPRODUCT(I19:$K$19,I4:$K$4)/SUM(I4:$K$4))</f>
        <v>0.11878550243804351</v>
      </c>
      <c r="L24" s="5">
        <f>L19</f>
        <v>0</v>
      </c>
      <c r="M24" s="16">
        <f>MAX(K24:L24)</f>
        <v>0.11878550243804351</v>
      </c>
      <c r="N24" s="16">
        <f>MIN(H24:L24)</f>
        <v>0</v>
      </c>
    </row>
    <row r="25" spans="1:14" x14ac:dyDescent="0.3">
      <c r="G25" t="s">
        <v>23</v>
      </c>
      <c r="H25" s="6">
        <f>IF(ISERROR(AVERAGEIF(B14:$L14,"&gt;0")),"",AVERAGEIF(B14:$L14,"&gt;0"))</f>
        <v>11.118976244725738</v>
      </c>
      <c r="I25" s="6">
        <f>IF(ISERROR(AVERAGEIF(E14:$L14,"&gt;0")),"",AVERAGEIF(E14:$L14,"&gt;0"))</f>
        <v>11.118976244725738</v>
      </c>
      <c r="J25" s="6">
        <f>IF(ISERROR(AVERAGEIF(G14:$L14,"&gt;0")),"",AVERAGEIF(G14:$L14,"&gt;0"))</f>
        <v>11.118976244725738</v>
      </c>
      <c r="K25" s="6">
        <f>IF(ISERROR(AVERAGEIF(I14:$L14,"&gt;0")),"",AVERAGEIF(I14:$L14,"&gt;0"))</f>
        <v>11.118976244725738</v>
      </c>
      <c r="L25" s="6">
        <f>L14</f>
        <v>0</v>
      </c>
      <c r="M25" s="1">
        <f>MAX(K25:L25)</f>
        <v>11.118976244725738</v>
      </c>
      <c r="N25" s="1">
        <f>MIN(H25:L25)</f>
        <v>0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DURLAX TOP SURFACE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0</v>
      </c>
      <c r="C3" s="12">
        <f>'Data Sheet'!C41</f>
        <v>0</v>
      </c>
      <c r="D3" s="12">
        <f>'Data Sheet'!D41</f>
        <v>0</v>
      </c>
      <c r="E3" s="12">
        <f>'Data Sheet'!E41</f>
        <v>0</v>
      </c>
      <c r="F3" s="12">
        <f>'Data Sheet'!F41</f>
        <v>0</v>
      </c>
      <c r="G3" s="12">
        <f>'Data Sheet'!G41</f>
        <v>0</v>
      </c>
      <c r="H3" s="12">
        <f>'Data Sheet'!H41</f>
        <v>0</v>
      </c>
      <c r="I3" s="12">
        <f>'Data Sheet'!I41</f>
        <v>0</v>
      </c>
      <c r="J3" s="12">
        <f>'Data Sheet'!J41</f>
        <v>0</v>
      </c>
      <c r="K3" s="12">
        <f>'Data Sheet'!K41</f>
        <v>0</v>
      </c>
    </row>
    <row r="4" spans="1:11" s="2" customFormat="1" x14ac:dyDescent="0.3">
      <c r="A4" s="2" t="s">
        <v>6</v>
      </c>
      <c r="B4" s="1">
        <f>'Data Sheet'!B42</f>
        <v>0</v>
      </c>
      <c r="C4" s="1">
        <f>'Data Sheet'!C42</f>
        <v>0</v>
      </c>
      <c r="D4" s="1">
        <f>'Data Sheet'!D42</f>
        <v>0</v>
      </c>
      <c r="E4" s="1">
        <f>'Data Sheet'!E42</f>
        <v>0</v>
      </c>
      <c r="F4" s="1">
        <f>'Data Sheet'!F42</f>
        <v>0</v>
      </c>
      <c r="G4" s="1">
        <f>'Data Sheet'!G42</f>
        <v>0</v>
      </c>
      <c r="H4" s="1">
        <f>'Data Sheet'!H42</f>
        <v>0</v>
      </c>
      <c r="I4" s="1">
        <f>'Data Sheet'!I42</f>
        <v>0</v>
      </c>
      <c r="J4" s="1">
        <f>'Data Sheet'!J42</f>
        <v>0</v>
      </c>
      <c r="K4" s="1">
        <f>'Data Sheet'!K42</f>
        <v>0</v>
      </c>
    </row>
    <row r="5" spans="1:11" x14ac:dyDescent="0.3">
      <c r="A5" t="s">
        <v>7</v>
      </c>
      <c r="B5" s="6">
        <f>'Data Sheet'!B43</f>
        <v>0</v>
      </c>
      <c r="C5" s="6">
        <f>'Data Sheet'!C43</f>
        <v>0</v>
      </c>
      <c r="D5" s="6">
        <f>'Data Sheet'!D43</f>
        <v>0</v>
      </c>
      <c r="E5" s="6">
        <f>'Data Sheet'!E43</f>
        <v>0</v>
      </c>
      <c r="F5" s="6">
        <f>'Data Sheet'!F43</f>
        <v>0</v>
      </c>
      <c r="G5" s="6">
        <f>'Data Sheet'!G43</f>
        <v>0</v>
      </c>
      <c r="H5" s="6">
        <f>'Data Sheet'!H43</f>
        <v>0</v>
      </c>
      <c r="I5" s="6">
        <f>'Data Sheet'!I43</f>
        <v>0</v>
      </c>
      <c r="J5" s="6">
        <f>'Data Sheet'!J43</f>
        <v>0</v>
      </c>
      <c r="K5" s="6">
        <f>'Data Sheet'!K43</f>
        <v>0</v>
      </c>
    </row>
    <row r="6" spans="1:11" s="2" customFormat="1" x14ac:dyDescent="0.3">
      <c r="A6" s="2" t="s">
        <v>8</v>
      </c>
      <c r="B6" s="1">
        <f>'Data Sheet'!B50</f>
        <v>0</v>
      </c>
      <c r="C6" s="1">
        <f>'Data Sheet'!C50</f>
        <v>0</v>
      </c>
      <c r="D6" s="1">
        <f>'Data Sheet'!D50</f>
        <v>0</v>
      </c>
      <c r="E6" s="1">
        <f>'Data Sheet'!E50</f>
        <v>0</v>
      </c>
      <c r="F6" s="1">
        <f>'Data Sheet'!F50</f>
        <v>0</v>
      </c>
      <c r="G6" s="1">
        <f>'Data Sheet'!G50</f>
        <v>0</v>
      </c>
      <c r="H6" s="1">
        <f>'Data Sheet'!H50</f>
        <v>0</v>
      </c>
      <c r="I6" s="1">
        <f>'Data Sheet'!I50</f>
        <v>0</v>
      </c>
      <c r="J6" s="1">
        <f>'Data Sheet'!J50</f>
        <v>0</v>
      </c>
      <c r="K6" s="1">
        <f>'Data Sheet'!K50</f>
        <v>0</v>
      </c>
    </row>
    <row r="7" spans="1:11" x14ac:dyDescent="0.3">
      <c r="A7" t="s">
        <v>9</v>
      </c>
      <c r="B7" s="6">
        <f>'Data Sheet'!B44</f>
        <v>0</v>
      </c>
      <c r="C7" s="6">
        <f>'Data Sheet'!C44</f>
        <v>0</v>
      </c>
      <c r="D7" s="6">
        <f>'Data Sheet'!D44</f>
        <v>0</v>
      </c>
      <c r="E7" s="6">
        <f>'Data Sheet'!E44</f>
        <v>0</v>
      </c>
      <c r="F7" s="6">
        <f>'Data Sheet'!F44</f>
        <v>0</v>
      </c>
      <c r="G7" s="6">
        <f>'Data Sheet'!G44</f>
        <v>0</v>
      </c>
      <c r="H7" s="6">
        <f>'Data Sheet'!H44</f>
        <v>0</v>
      </c>
      <c r="I7" s="6">
        <f>'Data Sheet'!I44</f>
        <v>0</v>
      </c>
      <c r="J7" s="6">
        <f>'Data Sheet'!J44</f>
        <v>0</v>
      </c>
      <c r="K7" s="6">
        <f>'Data Sheet'!K44</f>
        <v>0</v>
      </c>
    </row>
    <row r="8" spans="1:11" x14ac:dyDescent="0.3">
      <c r="A8" t="s">
        <v>10</v>
      </c>
      <c r="B8" s="6">
        <f>'Data Sheet'!B45</f>
        <v>0</v>
      </c>
      <c r="C8" s="6">
        <f>'Data Sheet'!C45</f>
        <v>0</v>
      </c>
      <c r="D8" s="6">
        <f>'Data Sheet'!D45</f>
        <v>0</v>
      </c>
      <c r="E8" s="6">
        <f>'Data Sheet'!E45</f>
        <v>0</v>
      </c>
      <c r="F8" s="6">
        <f>'Data Sheet'!F45</f>
        <v>0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3">
      <c r="A9" t="s">
        <v>11</v>
      </c>
      <c r="B9" s="6">
        <f>'Data Sheet'!B46</f>
        <v>0</v>
      </c>
      <c r="C9" s="6">
        <f>'Data Sheet'!C46</f>
        <v>0</v>
      </c>
      <c r="D9" s="6">
        <f>'Data Sheet'!D46</f>
        <v>0</v>
      </c>
      <c r="E9" s="6">
        <f>'Data Sheet'!E46</f>
        <v>0</v>
      </c>
      <c r="F9" s="6">
        <f>'Data Sheet'!F46</f>
        <v>0</v>
      </c>
      <c r="G9" s="6">
        <f>'Data Sheet'!G46</f>
        <v>0</v>
      </c>
      <c r="H9" s="6">
        <f>'Data Sheet'!H46</f>
        <v>0</v>
      </c>
      <c r="I9" s="6">
        <f>'Data Sheet'!I46</f>
        <v>0</v>
      </c>
      <c r="J9" s="6">
        <f>'Data Sheet'!J46</f>
        <v>0</v>
      </c>
      <c r="K9" s="6">
        <f>'Data Sheet'!K46</f>
        <v>0</v>
      </c>
    </row>
    <row r="10" spans="1:11" x14ac:dyDescent="0.3">
      <c r="A10" t="s">
        <v>12</v>
      </c>
      <c r="B10" s="6">
        <f>'Data Sheet'!B47</f>
        <v>0</v>
      </c>
      <c r="C10" s="6">
        <f>'Data Sheet'!C47</f>
        <v>0</v>
      </c>
      <c r="D10" s="6">
        <f>'Data Sheet'!D47</f>
        <v>0</v>
      </c>
      <c r="E10" s="6">
        <f>'Data Sheet'!E47</f>
        <v>0</v>
      </c>
      <c r="F10" s="6">
        <f>'Data Sheet'!F47</f>
        <v>0</v>
      </c>
      <c r="G10" s="6">
        <f>'Data Sheet'!G47</f>
        <v>0</v>
      </c>
      <c r="H10" s="6">
        <f>'Data Sheet'!H47</f>
        <v>0</v>
      </c>
      <c r="I10" s="6">
        <f>'Data Sheet'!I47</f>
        <v>0</v>
      </c>
      <c r="J10" s="6">
        <f>'Data Sheet'!J47</f>
        <v>0</v>
      </c>
      <c r="K10" s="6">
        <f>'Data Sheet'!K47</f>
        <v>0</v>
      </c>
    </row>
    <row r="11" spans="1:11" x14ac:dyDescent="0.3">
      <c r="A11" t="s">
        <v>13</v>
      </c>
      <c r="B11" s="6">
        <f>'Data Sheet'!B48</f>
        <v>0</v>
      </c>
      <c r="C11" s="6">
        <f>'Data Sheet'!C48</f>
        <v>0</v>
      </c>
      <c r="D11" s="6">
        <f>'Data Sheet'!D48</f>
        <v>0</v>
      </c>
      <c r="E11" s="6">
        <f>'Data Sheet'!E48</f>
        <v>0</v>
      </c>
      <c r="F11" s="6">
        <f>'Data Sheet'!F48</f>
        <v>0</v>
      </c>
      <c r="G11" s="6">
        <f>'Data Sheet'!G48</f>
        <v>0</v>
      </c>
      <c r="H11" s="6">
        <f>'Data Sheet'!H48</f>
        <v>0</v>
      </c>
      <c r="I11" s="6">
        <f>'Data Sheet'!I48</f>
        <v>0</v>
      </c>
      <c r="J11" s="6">
        <f>'Data Sheet'!J48</f>
        <v>0</v>
      </c>
      <c r="K11" s="6">
        <f>'Data Sheet'!K48</f>
        <v>0</v>
      </c>
    </row>
    <row r="12" spans="1:11" s="2" customFormat="1" x14ac:dyDescent="0.3">
      <c r="A12" s="2" t="s">
        <v>14</v>
      </c>
      <c r="B12" s="1">
        <f>'Data Sheet'!B49</f>
        <v>0</v>
      </c>
      <c r="C12" s="1">
        <f>'Data Sheet'!C49</f>
        <v>0</v>
      </c>
      <c r="D12" s="1">
        <f>'Data Sheet'!D49</f>
        <v>0</v>
      </c>
      <c r="E12" s="1">
        <f>'Data Sheet'!E49</f>
        <v>0</v>
      </c>
      <c r="F12" s="1">
        <f>'Data Sheet'!F49</f>
        <v>0</v>
      </c>
      <c r="G12" s="1">
        <f>'Data Sheet'!G49</f>
        <v>0</v>
      </c>
      <c r="H12" s="1">
        <f>'Data Sheet'!H49</f>
        <v>0</v>
      </c>
      <c r="I12" s="1">
        <f>'Data Sheet'!I49</f>
        <v>0</v>
      </c>
      <c r="J12" s="1">
        <f>'Data Sheet'!J49</f>
        <v>0</v>
      </c>
      <c r="K12" s="1">
        <f>'Data Sheet'!K49</f>
        <v>0</v>
      </c>
    </row>
    <row r="14" spans="1:11" s="2" customFormat="1" x14ac:dyDescent="0.3">
      <c r="A14" s="2" t="s">
        <v>18</v>
      </c>
      <c r="B14" s="10" t="str">
        <f>IF(B4&gt;0,B6/B4,"")</f>
        <v/>
      </c>
      <c r="C14" s="10" t="str">
        <f t="shared" ref="C14:K14" si="0">IF(C4&gt;0,C6/C4,"")</f>
        <v/>
      </c>
      <c r="D14" s="10" t="str">
        <f t="shared" si="0"/>
        <v/>
      </c>
      <c r="E14" s="10" t="str">
        <f t="shared" si="0"/>
        <v/>
      </c>
      <c r="F14" s="10" t="str">
        <f t="shared" si="0"/>
        <v/>
      </c>
      <c r="G14" s="10" t="str">
        <f t="shared" si="0"/>
        <v/>
      </c>
      <c r="H14" s="10" t="str">
        <f t="shared" si="0"/>
        <v/>
      </c>
      <c r="I14" s="10" t="str">
        <f t="shared" si="0"/>
        <v/>
      </c>
      <c r="J14" s="10" t="str">
        <f t="shared" si="0"/>
        <v/>
      </c>
      <c r="K14" s="10" t="str">
        <f t="shared" si="0"/>
        <v/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50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DURLAX TOP SURFACE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0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0.15</v>
      </c>
      <c r="F4" s="14">
        <f>'Data Sheet'!F57</f>
        <v>0.15</v>
      </c>
      <c r="G4" s="14">
        <f>'Data Sheet'!G57</f>
        <v>0.15</v>
      </c>
      <c r="H4" s="14">
        <f>'Data Sheet'!H57</f>
        <v>12.4</v>
      </c>
      <c r="I4" s="14">
        <f>'Data Sheet'!I57</f>
        <v>12.43</v>
      </c>
      <c r="J4" s="14">
        <f>'Data Sheet'!J57</f>
        <v>16.63</v>
      </c>
      <c r="K4" s="14">
        <f>'Data Sheet'!K57</f>
        <v>28.93</v>
      </c>
    </row>
    <row r="5" spans="1:11" x14ac:dyDescent="0.3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12.23</v>
      </c>
      <c r="F5" s="14">
        <f>'Data Sheet'!F58</f>
        <v>11.43</v>
      </c>
      <c r="G5" s="14">
        <f>'Data Sheet'!G58</f>
        <v>12.23</v>
      </c>
      <c r="H5" s="14">
        <f>'Data Sheet'!H58</f>
        <v>4.3</v>
      </c>
      <c r="I5" s="14">
        <f>'Data Sheet'!I58</f>
        <v>9.1999999999999993</v>
      </c>
      <c r="J5" s="14">
        <f>'Data Sheet'!J58</f>
        <v>41.06</v>
      </c>
      <c r="K5" s="14">
        <f>'Data Sheet'!K58</f>
        <v>87.59</v>
      </c>
    </row>
    <row r="6" spans="1:11" x14ac:dyDescent="0.3">
      <c r="A6" t="s">
        <v>62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32.07</v>
      </c>
      <c r="F6" s="14">
        <f>'Data Sheet'!F59</f>
        <v>37.47</v>
      </c>
      <c r="G6" s="14">
        <f>'Data Sheet'!G59</f>
        <v>39.299999999999997</v>
      </c>
      <c r="H6" s="14">
        <f>'Data Sheet'!H59</f>
        <v>36.909999999999997</v>
      </c>
      <c r="I6" s="14">
        <f>'Data Sheet'!I59</f>
        <v>60.71</v>
      </c>
      <c r="J6" s="14">
        <f>'Data Sheet'!J59</f>
        <v>45.84</v>
      </c>
      <c r="K6" s="14">
        <f>'Data Sheet'!K59</f>
        <v>40.4</v>
      </c>
    </row>
    <row r="7" spans="1:11" x14ac:dyDescent="0.3">
      <c r="A7" t="s">
        <v>63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13.33</v>
      </c>
      <c r="F7" s="14">
        <f>'Data Sheet'!F60</f>
        <v>8.52</v>
      </c>
      <c r="G7" s="14">
        <f>'Data Sheet'!G60</f>
        <v>20.37</v>
      </c>
      <c r="H7" s="14">
        <f>'Data Sheet'!H60</f>
        <v>24.21</v>
      </c>
      <c r="I7" s="14">
        <f>'Data Sheet'!I60</f>
        <v>23.19</v>
      </c>
      <c r="J7" s="14">
        <f>'Data Sheet'!J60</f>
        <v>11.25</v>
      </c>
      <c r="K7" s="14">
        <f>'Data Sheet'!K60</f>
        <v>18.440000000000001</v>
      </c>
    </row>
    <row r="8" spans="1:11" s="2" customFormat="1" x14ac:dyDescent="0.3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57.78</v>
      </c>
      <c r="F8" s="15">
        <f>'Data Sheet'!F61</f>
        <v>57.57</v>
      </c>
      <c r="G8" s="15">
        <f>'Data Sheet'!G61</f>
        <v>72.05</v>
      </c>
      <c r="H8" s="15">
        <f>'Data Sheet'!H61</f>
        <v>77.819999999999993</v>
      </c>
      <c r="I8" s="15">
        <f>'Data Sheet'!I61</f>
        <v>105.53</v>
      </c>
      <c r="J8" s="15">
        <f>'Data Sheet'!J61</f>
        <v>114.78</v>
      </c>
      <c r="K8" s="15">
        <f>'Data Sheet'!K61</f>
        <v>175.36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26.2</v>
      </c>
      <c r="F10" s="14">
        <f>'Data Sheet'!F62</f>
        <v>24.18</v>
      </c>
      <c r="G10" s="14">
        <f>'Data Sheet'!G62</f>
        <v>22.01</v>
      </c>
      <c r="H10" s="14">
        <f>'Data Sheet'!H62</f>
        <v>20.440000000000001</v>
      </c>
      <c r="I10" s="14">
        <f>'Data Sheet'!I62</f>
        <v>20.350000000000001</v>
      </c>
      <c r="J10" s="14">
        <f>'Data Sheet'!J62</f>
        <v>18.41</v>
      </c>
      <c r="K10" s="14">
        <f>'Data Sheet'!K62</f>
        <v>29</v>
      </c>
    </row>
    <row r="11" spans="1:11" x14ac:dyDescent="0.3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3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0.95</v>
      </c>
      <c r="F12" s="14">
        <f>'Data Sheet'!F64</f>
        <v>0</v>
      </c>
      <c r="G12" s="14">
        <f>'Data Sheet'!G64</f>
        <v>0</v>
      </c>
      <c r="H12" s="14">
        <f>'Data Sheet'!H64</f>
        <v>0</v>
      </c>
      <c r="I12" s="14">
        <f>'Data Sheet'!I64</f>
        <v>0.48</v>
      </c>
      <c r="J12" s="14">
        <f>'Data Sheet'!J64</f>
        <v>0.48</v>
      </c>
      <c r="K12" s="14">
        <f>'Data Sheet'!K64</f>
        <v>0.48</v>
      </c>
    </row>
    <row r="13" spans="1:11" x14ac:dyDescent="0.3">
      <c r="A13" t="s">
        <v>64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30.63</v>
      </c>
      <c r="F13" s="14">
        <f>'Data Sheet'!F65</f>
        <v>33.39</v>
      </c>
      <c r="G13" s="14">
        <f>'Data Sheet'!G65</f>
        <v>50.04</v>
      </c>
      <c r="H13" s="14">
        <f>'Data Sheet'!H65</f>
        <v>57.38</v>
      </c>
      <c r="I13" s="14">
        <f>'Data Sheet'!I65</f>
        <v>84.7</v>
      </c>
      <c r="J13" s="14">
        <f>'Data Sheet'!J65</f>
        <v>95.89</v>
      </c>
      <c r="K13" s="14">
        <f>'Data Sheet'!K65</f>
        <v>145.88</v>
      </c>
    </row>
    <row r="14" spans="1:11" s="2" customFormat="1" x14ac:dyDescent="0.3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57.78</v>
      </c>
      <c r="F14" s="14">
        <f>'Data Sheet'!F66</f>
        <v>57.57</v>
      </c>
      <c r="G14" s="14">
        <f>'Data Sheet'!G66</f>
        <v>72.05</v>
      </c>
      <c r="H14" s="14">
        <f>'Data Sheet'!H66</f>
        <v>77.819999999999993</v>
      </c>
      <c r="I14" s="14">
        <f>'Data Sheet'!I66</f>
        <v>105.53</v>
      </c>
      <c r="J14" s="14">
        <f>'Data Sheet'!J66</f>
        <v>114.78</v>
      </c>
      <c r="K14" s="14">
        <f>'Data Sheet'!K66</f>
        <v>175.36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17.299999999999997</v>
      </c>
      <c r="F16" s="4">
        <f t="shared" si="0"/>
        <v>24.87</v>
      </c>
      <c r="G16" s="4">
        <f t="shared" si="0"/>
        <v>29.669999999999998</v>
      </c>
      <c r="H16" s="4">
        <f t="shared" si="0"/>
        <v>33.17</v>
      </c>
      <c r="I16" s="4">
        <f t="shared" si="0"/>
        <v>61.510000000000005</v>
      </c>
      <c r="J16" s="4">
        <f t="shared" si="0"/>
        <v>84.64</v>
      </c>
      <c r="K16" s="4">
        <f t="shared" si="0"/>
        <v>127.44</v>
      </c>
    </row>
    <row r="17" spans="1:11" x14ac:dyDescent="0.3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6.26</v>
      </c>
      <c r="F17" s="4">
        <f>'Data Sheet'!F67</f>
        <v>5.0999999999999996</v>
      </c>
      <c r="G17" s="4">
        <f>'Data Sheet'!G67</f>
        <v>16.16</v>
      </c>
      <c r="H17" s="4">
        <f>'Data Sheet'!H67</f>
        <v>15.87</v>
      </c>
      <c r="I17" s="4">
        <f>'Data Sheet'!I67</f>
        <v>30.09</v>
      </c>
      <c r="J17" s="4">
        <f>'Data Sheet'!J67</f>
        <v>35.03</v>
      </c>
      <c r="K17" s="4">
        <f>'Data Sheet'!K67</f>
        <v>63.97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15.08</v>
      </c>
      <c r="F18" s="4">
        <f>'Data Sheet'!F68</f>
        <v>24.58</v>
      </c>
      <c r="G18" s="4">
        <f>'Data Sheet'!G68</f>
        <v>30.17</v>
      </c>
      <c r="H18" s="4">
        <f>'Data Sheet'!H68</f>
        <v>38.479999999999997</v>
      </c>
      <c r="I18" s="4">
        <f>'Data Sheet'!I68</f>
        <v>49.3</v>
      </c>
      <c r="J18" s="4">
        <f>'Data Sheet'!J68</f>
        <v>49.94</v>
      </c>
      <c r="K18" s="4">
        <f>'Data Sheet'!K68</f>
        <v>42.26</v>
      </c>
    </row>
    <row r="20" spans="1:11" x14ac:dyDescent="0.3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75.235429700362189</v>
      </c>
      <c r="F20" s="4">
        <f>IF('Profit &amp; Loss'!F4&gt;0,'Balance Sheet'!F17/('Profit &amp; Loss'!F4/365),0)</f>
        <v>95.314900153609827</v>
      </c>
      <c r="G20" s="4">
        <f>IF('Profit &amp; Loss'!G4&gt;0,'Balance Sheet'!G17/('Profit &amp; Loss'!G4/365),0)</f>
        <v>124.59653569919728</v>
      </c>
      <c r="H20" s="4">
        <f>IF('Profit &amp; Loss'!H4&gt;0,'Balance Sheet'!H17/('Profit &amp; Loss'!H4/365),0)</f>
        <v>86.909977494373578</v>
      </c>
      <c r="I20" s="4">
        <f>IF('Profit &amp; Loss'!I4&gt;0,'Balance Sheet'!I17/('Profit &amp; Loss'!I4/365),0)</f>
        <v>121.02314049586776</v>
      </c>
      <c r="J20" s="4">
        <f>IF('Profit &amp; Loss'!J4&gt;0,'Balance Sheet'!J17/('Profit &amp; Loss'!J4/365),0)</f>
        <v>104.32400456919061</v>
      </c>
      <c r="K20" s="4">
        <f>IF('Profit &amp; Loss'!K4&gt;0,'Balance Sheet'!K17/('Profit &amp; Loss'!K4/365),0)</f>
        <v>126.51882958547817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2.0139257294429709</v>
      </c>
      <c r="F21" s="4">
        <f>IF('Balance Sheet'!F18&gt;0,'Profit &amp; Loss'!F4/'Balance Sheet'!F18,0)</f>
        <v>0.79454841334418236</v>
      </c>
      <c r="G21" s="4">
        <f>IF('Balance Sheet'!G18&gt;0,'Profit &amp; Loss'!G4/'Balance Sheet'!G18,0)</f>
        <v>1.5691083858137223</v>
      </c>
      <c r="H21" s="4">
        <f>IF('Balance Sheet'!H18&gt;0,'Profit &amp; Loss'!H4/'Balance Sheet'!H18,0)</f>
        <v>1.7320686070686073</v>
      </c>
      <c r="I21" s="4">
        <f>IF('Balance Sheet'!I18&gt;0,'Profit &amp; Loss'!I4/'Balance Sheet'!I18,0)</f>
        <v>1.8407707910750508</v>
      </c>
      <c r="J21" s="4">
        <f>IF('Balance Sheet'!J18&gt;0,'Profit &amp; Loss'!J4/'Balance Sheet'!J18,0)</f>
        <v>2.4541449739687629</v>
      </c>
      <c r="K21" s="4">
        <f>IF('Balance Sheet'!K18&gt;0,'Profit &amp; Loss'!K4/'Balance Sheet'!K18,0)</f>
        <v>4.3670137245622342</v>
      </c>
    </row>
    <row r="23" spans="1:11" s="2" customFormat="1" x14ac:dyDescent="0.3">
      <c r="A23" s="2" t="s">
        <v>50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>
        <f>IF(SUM('Balance Sheet'!E4:E5)&gt;0,'Profit &amp; Loss'!E12/SUM('Balance Sheet'!E4:E5),"")</f>
        <v>-8.723747980613894E-2</v>
      </c>
      <c r="F23" s="10">
        <f>IF(SUM('Balance Sheet'!F4:F5)&gt;0,'Profit &amp; Loss'!F12/SUM('Balance Sheet'!F4:F5),"")</f>
        <v>-7.1675302245250427E-2</v>
      </c>
      <c r="G23" s="10">
        <f>IF(SUM('Balance Sheet'!G4:G5)&gt;0,'Profit &amp; Loss'!G12/SUM('Balance Sheet'!G4:G5),"")</f>
        <v>6.5428109854604205E-2</v>
      </c>
      <c r="H23" s="10">
        <f>IF(SUM('Balance Sheet'!H4:H5)&gt;0,'Profit &amp; Loss'!H12/SUM('Balance Sheet'!H4:H5),"")</f>
        <v>0.15748502994011976</v>
      </c>
      <c r="I23" s="10">
        <f>IF(SUM('Balance Sheet'!I4:I5)&gt;0,'Profit &amp; Loss'!I12/SUM('Balance Sheet'!I4:I5),"")</f>
        <v>0.18446601941747576</v>
      </c>
      <c r="J23" s="10">
        <f>IF(SUM('Balance Sheet'!J4:J5)&gt;0,'Profit &amp; Loss'!J12/SUM('Balance Sheet'!J4:J5),"")</f>
        <v>0.13000520020800832</v>
      </c>
      <c r="K23" s="10">
        <f>IF(SUM('Balance Sheet'!K4:K5)&gt;0,'Profit &amp; Loss'!K12/SUM('Balance Sheet'!K4:K5),"")</f>
        <v>0.108479231033299</v>
      </c>
    </row>
    <row r="24" spans="1:11" s="2" customFormat="1" x14ac:dyDescent="0.3">
      <c r="A24" s="2" t="s">
        <v>51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>
        <f>IF((D4+D5+D6+E4+E5+E6)&gt;0,('Profit &amp; Loss'!E10+'Profit &amp; Loss'!E9)*2/(D4+D5+D6+E4+E5+E6),"")</f>
        <v>0.11383577052868392</v>
      </c>
      <c r="F24" s="10">
        <f>IF((E4+E5+E6+F4+F5+F6)&gt;0,('Profit &amp; Loss'!F10+'Profit &amp; Loss'!F9)*2/(E4+E5+E6+F4+F5+F6),"")</f>
        <v>5.6042780748663104E-2</v>
      </c>
      <c r="G24" s="10">
        <f>IF((F4+F5+F6+G4+G5+G6)&gt;0,('Profit &amp; Loss'!G10+'Profit &amp; Loss'!G9)*2/(F4+F5+F6+G4+G5+G6),"")</f>
        <v>8.9347761342201931E-2</v>
      </c>
      <c r="H24" s="10">
        <f>IF((G4+G5+G6+H4+H5+H6)&gt;0,('Profit &amp; Loss'!H10+'Profit &amp; Loss'!H9)*2/(G4+G5+G6+H4+H5+H6),"")</f>
        <v>0.11985943584385983</v>
      </c>
      <c r="I24" s="10">
        <f>IF((H4+H5+H6+I4+I5+I6)&gt;0,('Profit &amp; Loss'!I10+'Profit &amp; Loss'!I9)*2/(H4+H5+H6+I4+I5+I6),"")</f>
        <v>0.11636631114380289</v>
      </c>
      <c r="J24" s="10">
        <f>IF((I4+I5+I6+J4+J5+J6)&gt;0,('Profit &amp; Loss'!J10+'Profit &amp; Loss'!J9)*2/(I4+I5+I6+J4+J5+J6),"")</f>
        <v>0.14763006402324205</v>
      </c>
      <c r="K24" s="10">
        <f>IF((J4+J5+J6+K4+K5+K6)&gt;0,('Profit &amp; Loss'!K10+'Profit &amp; Loss'!K9)*2/(J4+J5+J6+K4+K5+K6),"")</f>
        <v>0.16962948742560952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DURLAX TOP SURFACE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0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-2.87</v>
      </c>
      <c r="G4" s="1">
        <f>'Data Sheet'!G82</f>
        <v>1.53</v>
      </c>
      <c r="H4" s="1">
        <f>'Data Sheet'!H82</f>
        <v>3.83</v>
      </c>
      <c r="I4" s="1">
        <f>'Data Sheet'!I82</f>
        <v>-16.600000000000001</v>
      </c>
      <c r="J4" s="1">
        <f>'Data Sheet'!J82</f>
        <v>-6.78</v>
      </c>
      <c r="K4" s="1">
        <f>'Data Sheet'!K82</f>
        <v>-12.36</v>
      </c>
    </row>
    <row r="5" spans="1:11" x14ac:dyDescent="0.3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-0.12</v>
      </c>
      <c r="G5" s="6">
        <f>'Data Sheet'!G83</f>
        <v>-0.43</v>
      </c>
      <c r="H5" s="6">
        <f>'Data Sheet'!H83</f>
        <v>-0.06</v>
      </c>
      <c r="I5" s="6">
        <f>'Data Sheet'!I83</f>
        <v>-3.83</v>
      </c>
      <c r="J5" s="6">
        <f>'Data Sheet'!J83</f>
        <v>-3.54</v>
      </c>
      <c r="K5" s="6">
        <f>'Data Sheet'!K83</f>
        <v>-12.91</v>
      </c>
    </row>
    <row r="6" spans="1:11" x14ac:dyDescent="0.3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3.01</v>
      </c>
      <c r="G6" s="6">
        <f>'Data Sheet'!G84</f>
        <v>-1.06</v>
      </c>
      <c r="H6" s="6">
        <f>'Data Sheet'!H84</f>
        <v>-3.82</v>
      </c>
      <c r="I6" s="6">
        <f>'Data Sheet'!I84</f>
        <v>20.52</v>
      </c>
      <c r="J6" s="6">
        <f>'Data Sheet'!J84</f>
        <v>10.34</v>
      </c>
      <c r="K6" s="6">
        <f>'Data Sheet'!K84</f>
        <v>39.65</v>
      </c>
    </row>
    <row r="7" spans="1:11" s="2" customFormat="1" x14ac:dyDescent="0.3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0.03</v>
      </c>
      <c r="G7" s="1">
        <f>'Data Sheet'!G85</f>
        <v>0.05</v>
      </c>
      <c r="H7" s="1">
        <f>'Data Sheet'!H85</f>
        <v>-0.06</v>
      </c>
      <c r="I7" s="1">
        <f>'Data Sheet'!I85</f>
        <v>0.08</v>
      </c>
      <c r="J7" s="1">
        <f>'Data Sheet'!J85</f>
        <v>0.02</v>
      </c>
      <c r="K7" s="1">
        <f>'Data Sheet'!K85</f>
        <v>14.37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2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3">
      <c r="A2" s="1" t="s">
        <v>52</v>
      </c>
      <c r="B2" s="4">
        <v>2.1</v>
      </c>
      <c r="E2" s="22" t="s">
        <v>36</v>
      </c>
      <c r="F2" s="22"/>
      <c r="G2" s="22"/>
      <c r="H2" s="22"/>
      <c r="I2" s="22"/>
      <c r="J2" s="22"/>
      <c r="K2" s="22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2.8935312831389184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43</v>
      </c>
      <c r="B8">
        <v>47.15</v>
      </c>
    </row>
    <row r="9" spans="1:11" x14ac:dyDescent="0.3">
      <c r="A9" s="4" t="s">
        <v>70</v>
      </c>
      <c r="B9">
        <v>136.43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/>
      <c r="C16" s="12"/>
      <c r="D16" s="12"/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E17">
        <v>30.37</v>
      </c>
      <c r="F17">
        <v>19.53</v>
      </c>
      <c r="G17">
        <v>47.34</v>
      </c>
      <c r="H17">
        <v>66.650000000000006</v>
      </c>
      <c r="I17">
        <v>90.75</v>
      </c>
      <c r="J17">
        <v>122.56</v>
      </c>
      <c r="K17">
        <v>184.55</v>
      </c>
    </row>
    <row r="18" spans="1:11" s="6" customFormat="1" x14ac:dyDescent="0.3">
      <c r="A18" s="4" t="s">
        <v>71</v>
      </c>
      <c r="E18">
        <v>20.43</v>
      </c>
      <c r="F18">
        <v>14.41</v>
      </c>
      <c r="G18">
        <v>40.21</v>
      </c>
      <c r="H18">
        <v>57.45</v>
      </c>
      <c r="I18">
        <v>74.48</v>
      </c>
      <c r="J18">
        <v>98.03</v>
      </c>
      <c r="K18">
        <v>144.47</v>
      </c>
    </row>
    <row r="19" spans="1:11" s="6" customFormat="1" x14ac:dyDescent="0.3">
      <c r="A19" s="4" t="s">
        <v>72</v>
      </c>
      <c r="E19">
        <v>0.59</v>
      </c>
      <c r="F19">
        <v>2.59</v>
      </c>
      <c r="G19">
        <v>3.56</v>
      </c>
      <c r="H19">
        <v>4.6500000000000004</v>
      </c>
      <c r="I19">
        <v>3.3</v>
      </c>
      <c r="J19">
        <v>0.13</v>
      </c>
      <c r="K19">
        <v>-2.65</v>
      </c>
    </row>
    <row r="20" spans="1:11" s="6" customFormat="1" x14ac:dyDescent="0.3">
      <c r="A20" s="4" t="s">
        <v>73</v>
      </c>
      <c r="E20">
        <v>0.03</v>
      </c>
      <c r="F20">
        <v>0.01</v>
      </c>
      <c r="G20">
        <v>0.01</v>
      </c>
      <c r="H20">
        <v>0.02</v>
      </c>
      <c r="I20">
        <v>0.02</v>
      </c>
      <c r="J20">
        <v>0.03</v>
      </c>
    </row>
    <row r="21" spans="1:11" s="6" customFormat="1" x14ac:dyDescent="0.3">
      <c r="A21" s="4" t="s">
        <v>74</v>
      </c>
      <c r="E21">
        <v>0.83</v>
      </c>
      <c r="F21">
        <v>0.81</v>
      </c>
      <c r="G21">
        <v>1.43</v>
      </c>
      <c r="H21">
        <v>2.54</v>
      </c>
      <c r="I21">
        <v>3.62</v>
      </c>
      <c r="J21">
        <v>3.96</v>
      </c>
    </row>
    <row r="22" spans="1:11" s="6" customFormat="1" x14ac:dyDescent="0.3">
      <c r="A22" s="4" t="s">
        <v>75</v>
      </c>
      <c r="E22">
        <v>2.5</v>
      </c>
      <c r="F22">
        <v>1.1399999999999999</v>
      </c>
      <c r="G22">
        <v>0.92</v>
      </c>
      <c r="H22">
        <v>1.57</v>
      </c>
      <c r="I22">
        <v>1.74</v>
      </c>
      <c r="J22">
        <v>2.34</v>
      </c>
      <c r="K22">
        <v>3.59</v>
      </c>
    </row>
    <row r="23" spans="1:11" s="6" customFormat="1" x14ac:dyDescent="0.3">
      <c r="A23" s="4" t="s">
        <v>76</v>
      </c>
      <c r="E23">
        <v>2.4</v>
      </c>
      <c r="F23">
        <v>0.93</v>
      </c>
      <c r="G23">
        <v>1.42</v>
      </c>
      <c r="H23">
        <v>1.59</v>
      </c>
      <c r="I23">
        <v>3.07</v>
      </c>
      <c r="J23">
        <v>4.28</v>
      </c>
    </row>
    <row r="24" spans="1:11" s="6" customFormat="1" x14ac:dyDescent="0.3">
      <c r="A24" s="4" t="s">
        <v>77</v>
      </c>
      <c r="E24">
        <v>0.13</v>
      </c>
      <c r="F24">
        <v>0.23</v>
      </c>
      <c r="G24">
        <v>0.31</v>
      </c>
      <c r="H24">
        <v>0.31</v>
      </c>
      <c r="I24">
        <v>0.09</v>
      </c>
      <c r="J24">
        <v>0.05</v>
      </c>
      <c r="K24">
        <v>11.61</v>
      </c>
    </row>
    <row r="25" spans="1:11" s="6" customFormat="1" x14ac:dyDescent="0.3">
      <c r="A25" s="6" t="s">
        <v>9</v>
      </c>
      <c r="E25">
        <v>0.18</v>
      </c>
      <c r="F25">
        <v>0.19</v>
      </c>
      <c r="G25">
        <v>0.06</v>
      </c>
      <c r="H25">
        <v>0.1</v>
      </c>
      <c r="I25">
        <v>-0.88</v>
      </c>
      <c r="J25">
        <v>2.17</v>
      </c>
      <c r="K25">
        <v>2.3199999999999998</v>
      </c>
    </row>
    <row r="26" spans="1:11" s="6" customFormat="1" x14ac:dyDescent="0.3">
      <c r="A26" s="6" t="s">
        <v>10</v>
      </c>
      <c r="E26">
        <v>2.29</v>
      </c>
      <c r="F26">
        <v>2.16</v>
      </c>
      <c r="G26">
        <v>2.16</v>
      </c>
      <c r="H26">
        <v>1.61</v>
      </c>
      <c r="I26">
        <v>2.2400000000000002</v>
      </c>
      <c r="J26">
        <v>2.4500000000000002</v>
      </c>
      <c r="K26">
        <v>2.46</v>
      </c>
    </row>
    <row r="27" spans="1:11" s="6" customFormat="1" x14ac:dyDescent="0.3">
      <c r="A27" s="6" t="s">
        <v>11</v>
      </c>
      <c r="E27">
        <v>3.12</v>
      </c>
      <c r="F27">
        <v>2.54</v>
      </c>
      <c r="G27">
        <v>3.27</v>
      </c>
      <c r="H27">
        <v>3.44</v>
      </c>
      <c r="I27">
        <v>3.79</v>
      </c>
      <c r="J27">
        <v>3.75</v>
      </c>
      <c r="K27">
        <v>4.54</v>
      </c>
    </row>
    <row r="28" spans="1:11" s="6" customFormat="1" x14ac:dyDescent="0.3">
      <c r="A28" s="6" t="s">
        <v>12</v>
      </c>
      <c r="E28">
        <v>-0.59</v>
      </c>
      <c r="F28">
        <v>0.08</v>
      </c>
      <c r="G28">
        <v>1.23</v>
      </c>
      <c r="H28">
        <v>2.87</v>
      </c>
      <c r="I28">
        <v>4.12</v>
      </c>
      <c r="J28">
        <v>9.9700000000000006</v>
      </c>
      <c r="K28">
        <v>17.55</v>
      </c>
    </row>
    <row r="29" spans="1:11" s="6" customFormat="1" x14ac:dyDescent="0.3">
      <c r="A29" s="6" t="s">
        <v>13</v>
      </c>
      <c r="E29">
        <v>0.49</v>
      </c>
      <c r="F29">
        <v>0.9</v>
      </c>
      <c r="G29">
        <v>0.43</v>
      </c>
      <c r="H29">
        <v>0.25</v>
      </c>
      <c r="I29">
        <v>0.13</v>
      </c>
      <c r="J29">
        <v>2.4700000000000002</v>
      </c>
      <c r="K29">
        <v>4.91</v>
      </c>
    </row>
    <row r="30" spans="1:11" s="6" customFormat="1" x14ac:dyDescent="0.3">
      <c r="A30" s="6" t="s">
        <v>14</v>
      </c>
      <c r="E30">
        <v>-1.08</v>
      </c>
      <c r="F30">
        <v>-0.83</v>
      </c>
      <c r="G30">
        <v>0.81</v>
      </c>
      <c r="H30">
        <v>2.63</v>
      </c>
      <c r="I30">
        <v>3.99</v>
      </c>
      <c r="J30">
        <v>7.5</v>
      </c>
      <c r="K30">
        <v>12.64</v>
      </c>
    </row>
    <row r="31" spans="1:11" s="6" customFormat="1" x14ac:dyDescent="0.3">
      <c r="A31" s="6" t="s">
        <v>61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s="6" customFormat="1" x14ac:dyDescent="0.3">
      <c r="A42" s="6" t="s">
        <v>6</v>
      </c>
    </row>
    <row r="43" spans="1:11" s="6" customFormat="1" x14ac:dyDescent="0.3">
      <c r="A43" s="6" t="s">
        <v>7</v>
      </c>
    </row>
    <row r="44" spans="1:11" s="6" customFormat="1" x14ac:dyDescent="0.3">
      <c r="A44" s="6" t="s">
        <v>9</v>
      </c>
    </row>
    <row r="45" spans="1:11" s="6" customFormat="1" x14ac:dyDescent="0.3">
      <c r="A45" s="6" t="s">
        <v>10</v>
      </c>
    </row>
    <row r="46" spans="1:11" s="6" customFormat="1" x14ac:dyDescent="0.3">
      <c r="A46" s="6" t="s">
        <v>11</v>
      </c>
    </row>
    <row r="47" spans="1:11" s="6" customFormat="1" x14ac:dyDescent="0.3">
      <c r="A47" s="6" t="s">
        <v>12</v>
      </c>
    </row>
    <row r="48" spans="1:11" s="6" customFormat="1" x14ac:dyDescent="0.3">
      <c r="A48" s="6" t="s">
        <v>13</v>
      </c>
    </row>
    <row r="49" spans="1:11" s="6" customFormat="1" x14ac:dyDescent="0.3">
      <c r="A49" s="6" t="s">
        <v>14</v>
      </c>
    </row>
    <row r="50" spans="1:11" x14ac:dyDescent="0.3">
      <c r="A50" s="6" t="s">
        <v>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/>
      <c r="C56" s="12"/>
      <c r="D56" s="12"/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E57">
        <v>0.15</v>
      </c>
      <c r="F57">
        <v>0.15</v>
      </c>
      <c r="G57">
        <v>0.15</v>
      </c>
      <c r="H57">
        <v>12.4</v>
      </c>
      <c r="I57">
        <v>12.43</v>
      </c>
      <c r="J57">
        <v>16.63</v>
      </c>
      <c r="K57">
        <v>28.93</v>
      </c>
    </row>
    <row r="58" spans="1:11" x14ac:dyDescent="0.3">
      <c r="A58" s="6" t="s">
        <v>25</v>
      </c>
      <c r="E58">
        <v>12.23</v>
      </c>
      <c r="F58">
        <v>11.43</v>
      </c>
      <c r="G58">
        <v>12.23</v>
      </c>
      <c r="H58">
        <v>4.3</v>
      </c>
      <c r="I58">
        <v>9.1999999999999993</v>
      </c>
      <c r="J58">
        <v>41.06</v>
      </c>
      <c r="K58">
        <v>87.59</v>
      </c>
    </row>
    <row r="59" spans="1:11" x14ac:dyDescent="0.3">
      <c r="A59" s="6" t="s">
        <v>62</v>
      </c>
      <c r="E59">
        <v>32.07</v>
      </c>
      <c r="F59">
        <v>37.47</v>
      </c>
      <c r="G59">
        <v>39.299999999999997</v>
      </c>
      <c r="H59">
        <v>36.909999999999997</v>
      </c>
      <c r="I59">
        <v>60.71</v>
      </c>
      <c r="J59">
        <v>45.84</v>
      </c>
      <c r="K59">
        <v>40.4</v>
      </c>
    </row>
    <row r="60" spans="1:11" x14ac:dyDescent="0.3">
      <c r="A60" s="6" t="s">
        <v>63</v>
      </c>
      <c r="E60">
        <v>13.33</v>
      </c>
      <c r="F60">
        <v>8.52</v>
      </c>
      <c r="G60">
        <v>20.37</v>
      </c>
      <c r="H60">
        <v>24.21</v>
      </c>
      <c r="I60">
        <v>23.19</v>
      </c>
      <c r="J60">
        <v>11.25</v>
      </c>
      <c r="K60">
        <v>18.440000000000001</v>
      </c>
    </row>
    <row r="61" spans="1:11" s="1" customFormat="1" x14ac:dyDescent="0.3">
      <c r="A61" s="1" t="s">
        <v>26</v>
      </c>
      <c r="E61">
        <v>57.78</v>
      </c>
      <c r="F61">
        <v>57.57</v>
      </c>
      <c r="G61">
        <v>72.05</v>
      </c>
      <c r="H61">
        <v>77.819999999999993</v>
      </c>
      <c r="I61">
        <v>105.53</v>
      </c>
      <c r="J61">
        <v>114.78</v>
      </c>
      <c r="K61">
        <v>175.36</v>
      </c>
    </row>
    <row r="62" spans="1:11" x14ac:dyDescent="0.3">
      <c r="A62" s="6" t="s">
        <v>27</v>
      </c>
      <c r="E62">
        <v>26.2</v>
      </c>
      <c r="F62">
        <v>24.18</v>
      </c>
      <c r="G62">
        <v>22.01</v>
      </c>
      <c r="H62">
        <v>20.440000000000001</v>
      </c>
      <c r="I62">
        <v>20.350000000000001</v>
      </c>
      <c r="J62">
        <v>18.41</v>
      </c>
      <c r="K62">
        <v>29</v>
      </c>
    </row>
    <row r="63" spans="1:11" x14ac:dyDescent="0.3">
      <c r="A63" s="6" t="s">
        <v>28</v>
      </c>
    </row>
    <row r="64" spans="1:11" x14ac:dyDescent="0.3">
      <c r="A64" s="6" t="s">
        <v>29</v>
      </c>
      <c r="E64">
        <v>0.95</v>
      </c>
      <c r="I64">
        <v>0.48</v>
      </c>
      <c r="J64">
        <v>0.48</v>
      </c>
      <c r="K64">
        <v>0.48</v>
      </c>
    </row>
    <row r="65" spans="1:11" x14ac:dyDescent="0.3">
      <c r="A65" s="6" t="s">
        <v>64</v>
      </c>
      <c r="E65">
        <v>30.63</v>
      </c>
      <c r="F65">
        <v>33.39</v>
      </c>
      <c r="G65">
        <v>50.04</v>
      </c>
      <c r="H65">
        <v>57.38</v>
      </c>
      <c r="I65">
        <v>84.7</v>
      </c>
      <c r="J65">
        <v>95.89</v>
      </c>
      <c r="K65">
        <v>145.88</v>
      </c>
    </row>
    <row r="66" spans="1:11" s="1" customFormat="1" x14ac:dyDescent="0.3">
      <c r="A66" s="1" t="s">
        <v>26</v>
      </c>
      <c r="E66">
        <v>57.78</v>
      </c>
      <c r="F66">
        <v>57.57</v>
      </c>
      <c r="G66">
        <v>72.05</v>
      </c>
      <c r="H66">
        <v>77.819999999999993</v>
      </c>
      <c r="I66">
        <v>105.53</v>
      </c>
      <c r="J66">
        <v>114.78</v>
      </c>
      <c r="K66">
        <v>175.36</v>
      </c>
    </row>
    <row r="67" spans="1:11" s="6" customFormat="1" x14ac:dyDescent="0.3">
      <c r="A67" s="6" t="s">
        <v>69</v>
      </c>
      <c r="E67">
        <v>6.26</v>
      </c>
      <c r="F67">
        <v>5.0999999999999996</v>
      </c>
      <c r="G67">
        <v>16.16</v>
      </c>
      <c r="H67">
        <v>15.87</v>
      </c>
      <c r="I67">
        <v>30.09</v>
      </c>
      <c r="J67">
        <v>35.03</v>
      </c>
      <c r="K67">
        <v>63.97</v>
      </c>
    </row>
    <row r="68" spans="1:11" x14ac:dyDescent="0.3">
      <c r="A68" s="6" t="s">
        <v>45</v>
      </c>
      <c r="E68">
        <v>15.08</v>
      </c>
      <c r="F68">
        <v>24.58</v>
      </c>
      <c r="G68">
        <v>30.17</v>
      </c>
      <c r="H68">
        <v>38.479999999999997</v>
      </c>
      <c r="I68">
        <v>49.3</v>
      </c>
      <c r="J68">
        <v>49.94</v>
      </c>
      <c r="K68">
        <v>42.26</v>
      </c>
    </row>
    <row r="69" spans="1:11" x14ac:dyDescent="0.3">
      <c r="A69" s="4" t="s">
        <v>78</v>
      </c>
      <c r="E69">
        <v>0.02</v>
      </c>
      <c r="F69">
        <v>0.56999999999999995</v>
      </c>
      <c r="G69">
        <v>1.03</v>
      </c>
      <c r="H69">
        <v>0.98</v>
      </c>
      <c r="I69">
        <v>1.23</v>
      </c>
      <c r="J69">
        <v>1.1499999999999999</v>
      </c>
      <c r="K69">
        <v>15.95</v>
      </c>
    </row>
    <row r="70" spans="1:11" x14ac:dyDescent="0.3">
      <c r="A70" s="4" t="s">
        <v>65</v>
      </c>
      <c r="E70">
        <v>149819</v>
      </c>
      <c r="F70">
        <v>149819</v>
      </c>
      <c r="G70">
        <v>149819</v>
      </c>
      <c r="H70">
        <v>12400701</v>
      </c>
      <c r="I70">
        <v>12400701</v>
      </c>
      <c r="J70">
        <v>16627701</v>
      </c>
    </row>
    <row r="71" spans="1:11" x14ac:dyDescent="0.3">
      <c r="A71" s="4" t="s">
        <v>66</v>
      </c>
    </row>
    <row r="72" spans="1:11" x14ac:dyDescent="0.3">
      <c r="A72" s="4" t="s">
        <v>79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/>
      <c r="C81" s="12"/>
      <c r="D81" s="12"/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F82">
        <v>-2.87</v>
      </c>
      <c r="G82">
        <v>1.53</v>
      </c>
      <c r="H82">
        <v>3.83</v>
      </c>
      <c r="I82">
        <v>-16.600000000000001</v>
      </c>
      <c r="J82">
        <v>-6.78</v>
      </c>
      <c r="K82">
        <v>-12.36</v>
      </c>
    </row>
    <row r="83" spans="1:11" s="6" customFormat="1" x14ac:dyDescent="0.3">
      <c r="A83" s="6" t="s">
        <v>33</v>
      </c>
      <c r="F83">
        <v>-0.12</v>
      </c>
      <c r="G83">
        <v>-0.43</v>
      </c>
      <c r="H83">
        <v>-0.06</v>
      </c>
      <c r="I83">
        <v>-3.83</v>
      </c>
      <c r="J83">
        <v>-3.54</v>
      </c>
      <c r="K83">
        <v>-12.91</v>
      </c>
    </row>
    <row r="84" spans="1:11" s="6" customFormat="1" x14ac:dyDescent="0.3">
      <c r="A84" s="6" t="s">
        <v>34</v>
      </c>
      <c r="F84">
        <v>3.01</v>
      </c>
      <c r="G84">
        <v>-1.06</v>
      </c>
      <c r="H84">
        <v>-3.82</v>
      </c>
      <c r="I84">
        <v>20.52</v>
      </c>
      <c r="J84">
        <v>10.34</v>
      </c>
      <c r="K84">
        <v>39.65</v>
      </c>
    </row>
    <row r="85" spans="1:11" s="1" customFormat="1" x14ac:dyDescent="0.3">
      <c r="A85" s="6" t="s">
        <v>35</v>
      </c>
      <c r="F85">
        <v>0.03</v>
      </c>
      <c r="G85">
        <v>0.05</v>
      </c>
      <c r="H85">
        <v>-0.06</v>
      </c>
      <c r="I85">
        <v>0.08</v>
      </c>
      <c r="J85">
        <v>0.02</v>
      </c>
      <c r="K85">
        <v>14.37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J90">
        <v>31.01</v>
      </c>
      <c r="K90">
        <v>45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20">
        <f>IF($B7&gt;0,(B70*B72/$B7)+SUM(C71:$K71),0)/10000000</f>
        <v>0</v>
      </c>
      <c r="C93" s="20">
        <f>IF($B7&gt;0,(C70*C72/$B7)+SUM(D71:$K71),0)/10000000</f>
        <v>0</v>
      </c>
      <c r="D93" s="20">
        <f>IF($B7&gt;0,(D70*D72/$B7)+SUM(E71:$K71),0)/10000000</f>
        <v>0</v>
      </c>
      <c r="E93" s="20">
        <v>0.03</v>
      </c>
      <c r="F93" s="20">
        <v>0.03</v>
      </c>
      <c r="G93" s="20">
        <v>0.03</v>
      </c>
      <c r="H93" s="20">
        <v>2.16</v>
      </c>
      <c r="I93" s="20">
        <v>2.16</v>
      </c>
      <c r="J93" s="20">
        <v>2.89</v>
      </c>
      <c r="K93" s="20">
        <v>2.89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Samyak Jain</cp:lastModifiedBy>
  <cp:lastPrinted>2012-12-06T18:14:13Z</cp:lastPrinted>
  <dcterms:created xsi:type="dcterms:W3CDTF">2012-08-17T09:55:37Z</dcterms:created>
  <dcterms:modified xsi:type="dcterms:W3CDTF">2026-07-03T06:02:15Z</dcterms:modified>
</cp:coreProperties>
</file>