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nk Statement" sheetId="1" state="visible" r:id="rId3"/>
    <sheet name="README - READ FIRS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<sst xmlns="http://schemas.openxmlformats.org/spreadsheetml/2006/main" count="231" uniqueCount="138">
  <si>
    <t xml:space="preserve">SYNTHETIC TEST DATA — GENERATED BY AI FOR PIPELINE TESTING ONLY — NOT A REAL BANK RECORD</t>
  </si>
  <si>
    <t xml:space="preserve">AI BANK OF INDIA</t>
  </si>
  <si>
    <t xml:space="preserve">(Synthetic institution — fictional, generated for software testing purposes)</t>
  </si>
  <si>
    <t xml:space="preserve">AI Bank of India, Nehru Place Branch, New Delhi</t>
  </si>
  <si>
    <t xml:space="preserve">Account Name</t>
  </si>
  <si>
    <t xml:space="preserve">C.E. INFO SYSTEMS LIMITED</t>
  </si>
  <si>
    <t xml:space="preserve">Account No.</t>
  </si>
  <si>
    <t xml:space="preserve">AI-XXXXXXXX-4471</t>
  </si>
  <si>
    <t xml:space="preserve">Address</t>
  </si>
  <si>
    <t xml:space="preserve">237, Okhla Industrial Estate, Phase-III, New Delhi-110020</t>
  </si>
  <si>
    <t xml:space="preserve">IFSC Code</t>
  </si>
  <si>
    <t xml:space="preserve">AIBK0SYNTH1</t>
  </si>
  <si>
    <t xml:space="preserve">Statement Period</t>
  </si>
  <si>
    <t xml:space="preserve">01-Jan-2025 to 31-Mar-2025</t>
  </si>
  <si>
    <t xml:space="preserve">Account Type</t>
  </si>
  <si>
    <t xml:space="preserve">Current Account</t>
  </si>
  <si>
    <t xml:space="preserve">Opening Balance (INR)</t>
  </si>
  <si>
    <t xml:space="preserve">Closing Balance (INR)</t>
  </si>
  <si>
    <t xml:space="preserve">Transaction Statement — Q4 FY2024-25 (Jan – Mar 2025)</t>
  </si>
  <si>
    <t xml:space="preserve">Date</t>
  </si>
  <si>
    <t xml:space="preserve">Ref Type</t>
  </si>
  <si>
    <t xml:space="preserve">Narration</t>
  </si>
  <si>
    <t xml:space="preserve">Debit (INR)</t>
  </si>
  <si>
    <t xml:space="preserve">Credit (INR)</t>
  </si>
  <si>
    <t xml:space="preserve">Balance (INR)</t>
  </si>
  <si>
    <t xml:space="preserve">GST-DR</t>
  </si>
  <si>
    <t xml:space="preserve">GST PAYMENT-CHALLAN-612340</t>
  </si>
  <si>
    <t xml:space="preserve">NEFT-CR</t>
  </si>
  <si>
    <t xml:space="preserve">NEFT CR-761759-CUSTOMER RECEIPT-ENTERPRISE SAAS</t>
  </si>
  <si>
    <t xml:space="preserve">RENT-DR</t>
  </si>
  <si>
    <t xml:space="preserve">RENT-OKHLA OFFICE PREMISES-334053</t>
  </si>
  <si>
    <t xml:space="preserve">SUB-CR</t>
  </si>
  <si>
    <t xml:space="preserve">NEFT CR-890170-SUBSCRIPTION RENEWAL-ENTERPRISE CLIENT</t>
  </si>
  <si>
    <t xml:space="preserve">GST PAYMENT-CHALLAN-341292</t>
  </si>
  <si>
    <t xml:space="preserve">RTGS-CR</t>
  </si>
  <si>
    <t xml:space="preserve">RTGS CR-133659-GOVT DEPT PAYMENT-PROJECT MILESTONE</t>
  </si>
  <si>
    <t xml:space="preserve">NEFT CR-184002-SUBSCRIPTION RENEWAL-ENTERPRISE CLIENT</t>
  </si>
  <si>
    <t xml:space="preserve">CHRG-DR</t>
  </si>
  <si>
    <t xml:space="preserve">BANK CHARGES-A/C MAINTENANCE</t>
  </si>
  <si>
    <t xml:space="preserve">GST PAYMENT-CHALLAN-808011</t>
  </si>
  <si>
    <t xml:space="preserve">CLOUD-DR</t>
  </si>
  <si>
    <t xml:space="preserve">NEFT DR-955662-CLOUD HOSTING SERVICES-AWS/AZURE</t>
  </si>
  <si>
    <t xml:space="preserve">NEFT DR-214975-CLOUD HOSTING SERVICES-AWS/AZURE</t>
  </si>
  <si>
    <t xml:space="preserve">NEFT CR-551989-CUSTOMER RECEIPT-ENTERPRISE SAAS</t>
  </si>
  <si>
    <t xml:space="preserve">FD-DR</t>
  </si>
  <si>
    <t xml:space="preserve">FIXED DEPOSIT BOOKED-AUTO SWEEP</t>
  </si>
  <si>
    <t xml:space="preserve">TDS-DR</t>
  </si>
  <si>
    <t xml:space="preserve">TDS PAYMENT-CHALLAN-663054</t>
  </si>
  <si>
    <t xml:space="preserve">NEFT CR-496922-SUBSCRIPTION RENEWAL-ENTERPRISE CLIENT</t>
  </si>
  <si>
    <t xml:space="preserve">NEFT DR-698782-CLOUD HOSTING SERVICES-AWS/AZURE</t>
  </si>
  <si>
    <t xml:space="preserve">RTGS CR-212235-GOVT DEPT PAYMENT-PROJECT MILESTONE</t>
  </si>
  <si>
    <t xml:space="preserve">RTGS CR-734210-GOVT DEPT PAYMENT-PROJECT MILESTONE</t>
  </si>
  <si>
    <t xml:space="preserve">NEFT DR-456778-CLOUD HOSTING SERVICES-AWS/AZURE</t>
  </si>
  <si>
    <t xml:space="preserve">MKT-DR</t>
  </si>
  <si>
    <t xml:space="preserve">NEFT DR-542666-MARKETING &amp; BUSINESS PROMOTION</t>
  </si>
  <si>
    <t xml:space="preserve">NEFT-DR</t>
  </si>
  <si>
    <t xml:space="preserve">NEFT DR-916449-VENDOR PAYMENT-TECHNICAL SERVICES OUTSOURCE</t>
  </si>
  <si>
    <t xml:space="preserve">NEFT DR-678478-CLOUD HOSTING SERVICES-AWS/AZURE</t>
  </si>
  <si>
    <t xml:space="preserve">NEFT CR-604740-AUTO OEM ROYALTY SETTLEMENT</t>
  </si>
  <si>
    <t xml:space="preserve">NEFT DR-246991-VENDOR PAYMENT-TECHNICAL SERVICES OUTSOURCE</t>
  </si>
  <si>
    <t xml:space="preserve">SAL-DR</t>
  </si>
  <si>
    <t xml:space="preserve">SALARY PAYMENT-PAYROLL BATCH-126225</t>
  </si>
  <si>
    <t xml:space="preserve">TDS PAYMENT-CHALLAN-835911</t>
  </si>
  <si>
    <t xml:space="preserve">TDS PAYMENT-CHALLAN-429445</t>
  </si>
  <si>
    <t xml:space="preserve">NEFT CR-452944-SUBSCRIPTION RENEWAL-ENTERPRISE CLIENT</t>
  </si>
  <si>
    <t xml:space="preserve">INT-CR</t>
  </si>
  <si>
    <t xml:space="preserve">INTEREST CREDIT ON FIXED DEPOSIT</t>
  </si>
  <si>
    <t xml:space="preserve">NEFT CR-694916-CUSTOMER RECEIPT-ENTERPRISE SAAS</t>
  </si>
  <si>
    <t xml:space="preserve">RTGS CR-608993-GOVT DEPT PAYMENT-PROJECT MILESTONE</t>
  </si>
  <si>
    <t xml:space="preserve">NEFT CR-497887-CUSTOMER RECEIPT-ENTERPRISE SAAS</t>
  </si>
  <si>
    <t xml:space="preserve">NEFT DR-946721-CLOUD HOSTING SERVICES-AWS/AZURE</t>
  </si>
  <si>
    <t xml:space="preserve">NEFT DR-865179-MARKETING &amp; BUSINESS PROMOTION</t>
  </si>
  <si>
    <t xml:space="preserve">NEFT CR-881177-CUSTOMER RECEIPT-ENTERPRISE SAAS</t>
  </si>
  <si>
    <t xml:space="preserve">NEFT DR-549245-CLOUD HOSTING SERVICES-AWS/AZURE</t>
  </si>
  <si>
    <t xml:space="preserve">NEFT CR-898975-SUBSCRIPTION RENEWAL-ENTERPRISE CLIENT</t>
  </si>
  <si>
    <t xml:space="preserve">RENT-OKHLA OFFICE PREMISES-191161</t>
  </si>
  <si>
    <t xml:space="preserve">NEFT CR-865990-AUTO OEM ROYALTY SETTLEMENT</t>
  </si>
  <si>
    <t xml:space="preserve">NEFT DR-748564-MARKETING &amp; BUSINESS PROMOTION</t>
  </si>
  <si>
    <t xml:space="preserve">RTGS CR-161324-GOVT DEPT PAYMENT-PROJECT MILESTONE</t>
  </si>
  <si>
    <t xml:space="preserve">ESOP-CR</t>
  </si>
  <si>
    <t xml:space="preserve">NEFT CR-208618-ESOP EXERCISE PROCEEDS</t>
  </si>
  <si>
    <t xml:space="preserve">NEFT CR-176066-ESOP EXERCISE PROCEEDS</t>
  </si>
  <si>
    <t xml:space="preserve">NEFT DR-768061-CLOUD HOSTING SERVICES-AWS/AZURE</t>
  </si>
  <si>
    <t xml:space="preserve">NEFT DR-214576-MARKETING &amp; BUSINESS PROMOTION</t>
  </si>
  <si>
    <t xml:space="preserve">RTGS CR-765046-GOVT DEPT PAYMENT-PROJECT MILESTONE</t>
  </si>
  <si>
    <t xml:space="preserve">GST PAYMENT-CHALLAN-838797</t>
  </si>
  <si>
    <t xml:space="preserve">NEFT CR-988662-CUSTOMER RECEIPT-ENTERPRISE SAAS</t>
  </si>
  <si>
    <t xml:space="preserve">NEFT CR-590785-AUTO OEM ROYALTY SETTLEMENT</t>
  </si>
  <si>
    <t xml:space="preserve">RTGS CR-922157-GOVT DEPT PAYMENT-PROJECT MILESTONE</t>
  </si>
  <si>
    <t xml:space="preserve">NEFT CR-776856-CUSTOMER RECEIPT-ENTERPRISE SAAS</t>
  </si>
  <si>
    <t xml:space="preserve">RTGS CR-321231-GOVT DEPT PAYMENT-PROJECT MILESTONE</t>
  </si>
  <si>
    <t xml:space="preserve">NEFT CR-245051-AUTO OEM ROYALTY SETTLEMENT</t>
  </si>
  <si>
    <t xml:space="preserve">NEFT CR-697347-CUSTOMER RECEIPT-ENTERPRISE SAAS</t>
  </si>
  <si>
    <t xml:space="preserve">NEFT CR-665492-SUBSCRIPTION RENEWAL-ENTERPRISE CLIENT</t>
  </si>
  <si>
    <t xml:space="preserve">NEFT DR-837715-MARKETING &amp; BUSINESS PROMOTION</t>
  </si>
  <si>
    <t xml:space="preserve">SALARY PAYMENT-PAYROLL BATCH-809570</t>
  </si>
  <si>
    <t xml:space="preserve">NEFT CR-335612-CUSTOMER RECEIPT-ENTERPRISE SAAS</t>
  </si>
  <si>
    <t xml:space="preserve">NEFT CR-857168-CUSTOMER RECEIPT-ENTERPRISE SAAS</t>
  </si>
  <si>
    <t xml:space="preserve">RENT-OKHLA OFFICE PREMISES-629903</t>
  </si>
  <si>
    <t xml:space="preserve">NEFT CR-774079-AUTO OEM ROYALTY SETTLEMENT</t>
  </si>
  <si>
    <t xml:space="preserve">GST PAYMENT-CHALLAN-260263</t>
  </si>
  <si>
    <t xml:space="preserve">NEFT DR-234628-CLOUD HOSTING SERVICES-AWS/AZURE</t>
  </si>
  <si>
    <t xml:space="preserve">NEFT CR-428838-CUSTOMER RECEIPT-ENTERPRISE SAAS</t>
  </si>
  <si>
    <t xml:space="preserve">NEFT CR-653306-CUSTOMER RECEIPT-ENTERPRISE SAAS</t>
  </si>
  <si>
    <t xml:space="preserve">NEFT CR-783823-CUSTOMER RECEIPT-ENTERPRISE SAAS</t>
  </si>
  <si>
    <t xml:space="preserve">TDS PAYMENT-CHALLAN-610311</t>
  </si>
  <si>
    <t xml:space="preserve">NEFT CR-178898-CUSTOMER RECEIPT-ENTERPRISE SAAS</t>
  </si>
  <si>
    <t xml:space="preserve">FD-CR</t>
  </si>
  <si>
    <t xml:space="preserve">FIXED DEPOSIT MATURED-AUTO SWEEP</t>
  </si>
  <si>
    <t xml:space="preserve">NEFT DR-431737-VENDOR PAYMENT-TECHNICAL SERVICES OUTSOURCE</t>
  </si>
  <si>
    <t xml:space="preserve">RTGS CR-106814-GOVT DEPT PAYMENT-PROJECT MILESTONE</t>
  </si>
  <si>
    <t xml:space="preserve">NEFT CR-185965-CUSTOMER RECEIPT-ENTERPRISE SAAS</t>
  </si>
  <si>
    <t xml:space="preserve">NEFT CR-204837-SUBSCRIPTION RENEWAL-ENTERPRISE CLIENT</t>
  </si>
  <si>
    <t xml:space="preserve">NEFT DR-270555-MARKETING &amp; BUSINESS PROMOTION</t>
  </si>
  <si>
    <t xml:space="preserve">TDS PAYMENT-CHALLAN-330283</t>
  </si>
  <si>
    <t xml:space="preserve">NEFT CR-390120-AUTO OEM ROYALTY SETTLEMENT</t>
  </si>
  <si>
    <t xml:space="preserve">NEFT CR-765822-CUSTOMER RECEIPT-ENTERPRISE SAAS</t>
  </si>
  <si>
    <t xml:space="preserve">NEFT CR-407757-AUTO OEM ROYALTY SETTLEMENT</t>
  </si>
  <si>
    <t xml:space="preserve">NEFT DR-539898-CLOUD HOSTING SERVICES-AWS/AZURE</t>
  </si>
  <si>
    <t xml:space="preserve">NEFT CR-203198-SUBSCRIPTION RENEWAL-ENTERPRISE CLIENT</t>
  </si>
  <si>
    <t xml:space="preserve">NEFT DR-800305-VENDOR PAYMENT-TECHNICAL SERVICES OUTSOURCE</t>
  </si>
  <si>
    <t xml:space="preserve">RTGS CR-403445-GOVT DEPT PAYMENT-PROJECT MILESTONE</t>
  </si>
  <si>
    <t xml:space="preserve">SALARY PAYMENT-PAYROLL BATCH-131244</t>
  </si>
  <si>
    <t xml:space="preserve">TDS PAYMENT-CHALLAN-559381</t>
  </si>
  <si>
    <t xml:space="preserve">RTGS CR-426858-GOVT DEPT PAYMENT-PROJECT MILESTONE</t>
  </si>
  <si>
    <t xml:space="preserve">Total Credits (INR)</t>
  </si>
  <si>
    <t xml:space="preserve">Total Debits (INR)</t>
  </si>
  <si>
    <t xml:space="preserve">No. of Transactions</t>
  </si>
  <si>
    <t xml:space="preserve">This workbook is entirely synthetic test data generated by an AI assistant for the sole purpose of testing the CamGeneration document-ingestion pipeline (bank_statement.py). "AI Bank of India" is a fictional institution. The account number, IFSC, transaction narrations, amounts, and balances shown here do not represent real financial activity and must not be used, submitted, or relied upon as an actual bank record for any company, including the entity named above.</t>
  </si>
  <si>
    <t xml:space="preserve">SYNTHETIC TEST DATA NOTICE</t>
  </si>
  <si>
    <t xml:space="preserve">This file is AI-generated synthetic test data, created to test the bank_statement.py ingestion</t>
  </si>
  <si>
    <t xml:space="preserve">module of the CamGeneration document pipeline.</t>
  </si>
  <si>
    <t xml:space="preserve">- "AI Bank of India" is a fictional bank and does not exist.</t>
  </si>
  <si>
    <t xml:space="preserve">- The account number, IFSC code, transaction narrations, amounts, and balances are fabricated.</t>
  </si>
  <si>
    <t xml:space="preserve">- The account holder name (C.E. Info Systems Limited) is reused from real uploaded reference</t>
  </si>
  <si>
    <t xml:space="preserve">  documents at the user's request, purely as a realistic label for pipeline testing.</t>
  </si>
  <si>
    <t xml:space="preserve">- This is NOT a real bank statement and must never be submitted, shared, or relied upon as an</t>
  </si>
  <si>
    <t xml:space="preserve">  actual financial record for any company or individual.</t>
  </si>
</sst>
</file>

<file path=xl/styles.xml><?xml version="1.0" encoding="utf-8"?>
<styleSheet xmlns="http://schemas.openxmlformats.org/spreadsheetml/2006/main">
  <numFmts count="4">
    <numFmt numFmtId="164" formatCode="General"/>
    <numFmt numFmtId="165" formatCode="#,##0.00"/>
    <numFmt numFmtId="166" formatCode="dd\-mmm\-yyyy"/>
    <numFmt numFmtId="167"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0000"/>
      <name val="Arial"/>
      <family val="0"/>
      <charset val="1"/>
    </font>
    <font>
      <b val="true"/>
      <sz val="16"/>
      <color rgb="FF0B3D91"/>
      <name val="Arial"/>
      <family val="0"/>
      <charset val="1"/>
    </font>
    <font>
      <i val="true"/>
      <sz val="9"/>
      <color rgb="FF666666"/>
      <name val="Arial"/>
      <family val="0"/>
      <charset val="1"/>
    </font>
    <font>
      <b val="true"/>
      <sz val="10"/>
      <name val="Arial"/>
      <family val="0"/>
      <charset val="1"/>
    </font>
    <font>
      <sz val="10"/>
      <name val="Arial"/>
      <family val="0"/>
      <charset val="1"/>
    </font>
    <font>
      <b val="true"/>
      <sz val="12"/>
      <color rgb="FF0B3D91"/>
      <name val="Arial"/>
      <family val="0"/>
      <charset val="1"/>
    </font>
    <font>
      <b val="true"/>
      <sz val="10"/>
      <color rgb="FFFFFFFF"/>
      <name val="Arial"/>
      <family val="0"/>
      <charset val="1"/>
    </font>
    <font>
      <sz val="9"/>
      <name val="Arial"/>
      <family val="0"/>
      <charset val="1"/>
    </font>
    <font>
      <b val="true"/>
      <sz val="14"/>
      <color rgb="FFFF0000"/>
      <name val="Arial"/>
      <family val="0"/>
      <charset val="1"/>
    </font>
  </fonts>
  <fills count="5">
    <fill>
      <patternFill patternType="none"/>
    </fill>
    <fill>
      <patternFill patternType="gray125"/>
    </fill>
    <fill>
      <patternFill patternType="solid">
        <fgColor rgb="FFEEF2FA"/>
        <bgColor rgb="FFF7F9FC"/>
      </patternFill>
    </fill>
    <fill>
      <patternFill patternType="solid">
        <fgColor rgb="FF0B3D91"/>
        <bgColor rgb="FF333399"/>
      </patternFill>
    </fill>
    <fill>
      <patternFill patternType="solid">
        <fgColor rgb="FFF7F9F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7F9FC"/>
      <rgbColor rgb="FFEEF2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B3D9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55"/>
    <col collapsed="false" customWidth="true" hidden="false" outlineLevel="0" max="5" min="4" style="0" width="16"/>
    <col collapsed="false" customWidth="true" hidden="false" outlineLevel="0" max="6" min="6" style="0" width="18"/>
  </cols>
  <sheetData>
    <row r="1" customFormat="false" ht="15" hidden="false" customHeight="false" outlineLevel="0" collapsed="false">
      <c r="A1" s="1" t="s">
        <v>0</v>
      </c>
      <c r="B1" s="1"/>
      <c r="C1" s="1"/>
      <c r="D1" s="1"/>
      <c r="E1" s="1"/>
      <c r="F1" s="1"/>
    </row>
    <row r="3" customFormat="false" ht="19.7" hidden="false" customHeight="false" outlineLevel="0" collapsed="false">
      <c r="A3" s="2" t="s">
        <v>1</v>
      </c>
      <c r="B3" s="2"/>
      <c r="C3" s="2"/>
      <c r="D3" s="2"/>
      <c r="E3" s="2"/>
      <c r="F3" s="2"/>
    </row>
    <row r="4" customFormat="false" ht="15" hidden="false" customHeight="false" outlineLevel="0" collapsed="false">
      <c r="A4" s="3" t="s">
        <v>2</v>
      </c>
      <c r="B4" s="3"/>
      <c r="C4" s="3"/>
      <c r="D4" s="3"/>
      <c r="E4" s="3"/>
      <c r="F4" s="3"/>
    </row>
    <row r="5" customFormat="false" ht="15" hidden="false" customHeight="false" outlineLevel="0" collapsed="false">
      <c r="A5" s="3" t="s">
        <v>3</v>
      </c>
      <c r="B5" s="3"/>
      <c r="C5" s="3"/>
      <c r="D5" s="3"/>
      <c r="E5" s="3"/>
      <c r="F5" s="3"/>
    </row>
    <row r="7" customFormat="false" ht="15" hidden="false" customHeight="false" outlineLevel="0" collapsed="false">
      <c r="A7" s="4" t="s">
        <v>4</v>
      </c>
      <c r="B7" s="5" t="s">
        <v>5</v>
      </c>
      <c r="C7" s="4" t="s">
        <v>6</v>
      </c>
      <c r="D7" s="5" t="s">
        <v>7</v>
      </c>
    </row>
    <row r="8" customFormat="false" ht="15" hidden="false" customHeight="false" outlineLevel="0" collapsed="false">
      <c r="A8" s="4" t="s">
        <v>8</v>
      </c>
      <c r="B8" s="5" t="s">
        <v>9</v>
      </c>
      <c r="C8" s="4" t="s">
        <v>10</v>
      </c>
      <c r="D8" s="5" t="s">
        <v>11</v>
      </c>
    </row>
    <row r="9" customFormat="false" ht="15" hidden="false" customHeight="false" outlineLevel="0" collapsed="false">
      <c r="A9" s="4" t="s">
        <v>12</v>
      </c>
      <c r="B9" s="5" t="s">
        <v>13</v>
      </c>
      <c r="C9" s="4" t="s">
        <v>14</v>
      </c>
      <c r="D9" s="5" t="s">
        <v>15</v>
      </c>
    </row>
    <row r="10" customFormat="false" ht="15" hidden="false" customHeight="false" outlineLevel="0" collapsed="false">
      <c r="A10" s="4" t="s">
        <v>16</v>
      </c>
      <c r="B10" s="6" t="n">
        <v>185032110.45</v>
      </c>
      <c r="C10" s="4" t="s">
        <v>17</v>
      </c>
      <c r="D10" s="6" t="n">
        <f aca="false">F109</f>
        <v>223789959.86</v>
      </c>
    </row>
    <row r="12" customFormat="false" ht="15" hidden="false" customHeight="false" outlineLevel="0" collapsed="false">
      <c r="A12" s="7" t="s">
        <v>18</v>
      </c>
      <c r="B12" s="7"/>
      <c r="C12" s="7"/>
      <c r="D12" s="7"/>
      <c r="E12" s="7"/>
      <c r="F12" s="7"/>
    </row>
    <row r="13" customFormat="false" ht="15" hidden="false" customHeight="false" outlineLevel="0" collapsed="false">
      <c r="A13" s="8" t="s">
        <v>19</v>
      </c>
      <c r="B13" s="8" t="s">
        <v>20</v>
      </c>
      <c r="C13" s="8" t="s">
        <v>21</v>
      </c>
      <c r="D13" s="8" t="s">
        <v>22</v>
      </c>
      <c r="E13" s="8" t="s">
        <v>23</v>
      </c>
      <c r="F13" s="8" t="s">
        <v>24</v>
      </c>
    </row>
    <row r="14" customFormat="false" ht="15" hidden="false" customHeight="false" outlineLevel="0" collapsed="false">
      <c r="A14" s="9" t="n">
        <v>45658</v>
      </c>
      <c r="B14" s="10" t="s">
        <v>25</v>
      </c>
      <c r="C14" s="10" t="s">
        <v>26</v>
      </c>
      <c r="D14" s="11" t="n">
        <v>538953.48</v>
      </c>
      <c r="E14" s="11"/>
      <c r="F14" s="11" t="n">
        <f aca="false">$B$10-IF(D14="",0,D14)+IF(E14="",0,E14)</f>
        <v>184493156.97</v>
      </c>
    </row>
    <row r="15" customFormat="false" ht="15" hidden="false" customHeight="false" outlineLevel="0" collapsed="false">
      <c r="A15" s="12" t="n">
        <v>45658</v>
      </c>
      <c r="B15" s="13" t="s">
        <v>27</v>
      </c>
      <c r="C15" s="13" t="s">
        <v>28</v>
      </c>
      <c r="D15" s="14"/>
      <c r="E15" s="14" t="n">
        <v>406100.89</v>
      </c>
      <c r="F15" s="14" t="n">
        <f aca="false">F14-IF(D15="",0,D15)+IF(E15="",0,E15)</f>
        <v>184899257.86</v>
      </c>
    </row>
    <row r="16" customFormat="false" ht="15" hidden="false" customHeight="false" outlineLevel="0" collapsed="false">
      <c r="A16" s="9" t="n">
        <v>45659</v>
      </c>
      <c r="B16" s="10" t="s">
        <v>29</v>
      </c>
      <c r="C16" s="10" t="s">
        <v>30</v>
      </c>
      <c r="D16" s="11" t="n">
        <v>859767.65</v>
      </c>
      <c r="E16" s="11"/>
      <c r="F16" s="11" t="n">
        <f aca="false">F15-IF(D16="",0,D16)+IF(E16="",0,E16)</f>
        <v>184039490.21</v>
      </c>
    </row>
    <row r="17" customFormat="false" ht="15" hidden="false" customHeight="false" outlineLevel="0" collapsed="false">
      <c r="A17" s="12" t="n">
        <v>45659</v>
      </c>
      <c r="B17" s="13" t="s">
        <v>31</v>
      </c>
      <c r="C17" s="13" t="s">
        <v>32</v>
      </c>
      <c r="D17" s="14"/>
      <c r="E17" s="14" t="n">
        <v>1288174.03</v>
      </c>
      <c r="F17" s="14" t="n">
        <f aca="false">F16-IF(D17="",0,D17)+IF(E17="",0,E17)</f>
        <v>185327664.24</v>
      </c>
    </row>
    <row r="18" customFormat="false" ht="15" hidden="false" customHeight="false" outlineLevel="0" collapsed="false">
      <c r="A18" s="9" t="n">
        <v>45660</v>
      </c>
      <c r="B18" s="10" t="s">
        <v>25</v>
      </c>
      <c r="C18" s="10" t="s">
        <v>33</v>
      </c>
      <c r="D18" s="11" t="n">
        <v>1676880.23</v>
      </c>
      <c r="E18" s="11"/>
      <c r="F18" s="11" t="n">
        <f aca="false">F17-IF(D18="",0,D18)+IF(E18="",0,E18)</f>
        <v>183650784.01</v>
      </c>
    </row>
    <row r="19" customFormat="false" ht="15" hidden="false" customHeight="false" outlineLevel="0" collapsed="false">
      <c r="A19" s="12" t="n">
        <v>45665</v>
      </c>
      <c r="B19" s="13" t="s">
        <v>34</v>
      </c>
      <c r="C19" s="13" t="s">
        <v>35</v>
      </c>
      <c r="D19" s="14"/>
      <c r="E19" s="14" t="n">
        <v>9758026.71</v>
      </c>
      <c r="F19" s="14" t="n">
        <f aca="false">F18-IF(D19="",0,D19)+IF(E19="",0,E19)</f>
        <v>193408810.72</v>
      </c>
    </row>
    <row r="20" customFormat="false" ht="15" hidden="false" customHeight="false" outlineLevel="0" collapsed="false">
      <c r="A20" s="9" t="n">
        <v>45665</v>
      </c>
      <c r="B20" s="10" t="s">
        <v>31</v>
      </c>
      <c r="C20" s="10" t="s">
        <v>36</v>
      </c>
      <c r="D20" s="11"/>
      <c r="E20" s="11" t="n">
        <v>1291879.56</v>
      </c>
      <c r="F20" s="11" t="n">
        <f aca="false">F19-IF(D20="",0,D20)+IF(E20="",0,E20)</f>
        <v>194700690.28</v>
      </c>
    </row>
    <row r="21" customFormat="false" ht="15" hidden="false" customHeight="false" outlineLevel="0" collapsed="false">
      <c r="A21" s="12" t="n">
        <v>45666</v>
      </c>
      <c r="B21" s="13" t="s">
        <v>37</v>
      </c>
      <c r="C21" s="13" t="s">
        <v>38</v>
      </c>
      <c r="D21" s="14" t="n">
        <v>818.86</v>
      </c>
      <c r="E21" s="14"/>
      <c r="F21" s="14" t="n">
        <f aca="false">F20-IF(D21="",0,D21)+IF(E21="",0,E21)</f>
        <v>194699871.42</v>
      </c>
    </row>
    <row r="22" customFormat="false" ht="15" hidden="false" customHeight="false" outlineLevel="0" collapsed="false">
      <c r="A22" s="9" t="n">
        <v>45666</v>
      </c>
      <c r="B22" s="10" t="s">
        <v>25</v>
      </c>
      <c r="C22" s="10" t="s">
        <v>39</v>
      </c>
      <c r="D22" s="11" t="n">
        <v>2223638.4</v>
      </c>
      <c r="E22" s="11"/>
      <c r="F22" s="11" t="n">
        <f aca="false">F21-IF(D22="",0,D22)+IF(E22="",0,E22)</f>
        <v>192476233.02</v>
      </c>
    </row>
    <row r="23" customFormat="false" ht="15" hidden="false" customHeight="false" outlineLevel="0" collapsed="false">
      <c r="A23" s="12" t="n">
        <v>45666</v>
      </c>
      <c r="B23" s="13" t="s">
        <v>37</v>
      </c>
      <c r="C23" s="13" t="s">
        <v>38</v>
      </c>
      <c r="D23" s="14" t="n">
        <v>1782.44</v>
      </c>
      <c r="E23" s="14"/>
      <c r="F23" s="14" t="n">
        <f aca="false">F22-IF(D23="",0,D23)+IF(E23="",0,E23)</f>
        <v>192474450.58</v>
      </c>
    </row>
    <row r="24" customFormat="false" ht="15" hidden="false" customHeight="false" outlineLevel="0" collapsed="false">
      <c r="A24" s="9" t="n">
        <v>45668</v>
      </c>
      <c r="B24" s="10" t="s">
        <v>40</v>
      </c>
      <c r="C24" s="10" t="s">
        <v>41</v>
      </c>
      <c r="D24" s="11" t="n">
        <v>362291.27</v>
      </c>
      <c r="E24" s="11"/>
      <c r="F24" s="11" t="n">
        <f aca="false">F23-IF(D24="",0,D24)+IF(E24="",0,E24)</f>
        <v>192112159.31</v>
      </c>
    </row>
    <row r="25" customFormat="false" ht="15" hidden="false" customHeight="false" outlineLevel="0" collapsed="false">
      <c r="A25" s="12" t="n">
        <v>45669</v>
      </c>
      <c r="B25" s="13" t="s">
        <v>40</v>
      </c>
      <c r="C25" s="13" t="s">
        <v>42</v>
      </c>
      <c r="D25" s="14" t="n">
        <v>437557.19</v>
      </c>
      <c r="E25" s="14"/>
      <c r="F25" s="14" t="n">
        <f aca="false">F24-IF(D25="",0,D25)+IF(E25="",0,E25)</f>
        <v>191674602.12</v>
      </c>
    </row>
    <row r="26" customFormat="false" ht="15" hidden="false" customHeight="false" outlineLevel="0" collapsed="false">
      <c r="A26" s="9" t="n">
        <v>45670</v>
      </c>
      <c r="B26" s="10" t="s">
        <v>27</v>
      </c>
      <c r="C26" s="10" t="s">
        <v>43</v>
      </c>
      <c r="D26" s="11"/>
      <c r="E26" s="11" t="n">
        <v>1691194.41</v>
      </c>
      <c r="F26" s="11" t="n">
        <f aca="false">F25-IF(D26="",0,D26)+IF(E26="",0,E26)</f>
        <v>193365796.53</v>
      </c>
    </row>
    <row r="27" customFormat="false" ht="15" hidden="false" customHeight="false" outlineLevel="0" collapsed="false">
      <c r="A27" s="12" t="n">
        <v>45671</v>
      </c>
      <c r="B27" s="13" t="s">
        <v>37</v>
      </c>
      <c r="C27" s="13" t="s">
        <v>38</v>
      </c>
      <c r="D27" s="14" t="n">
        <v>4287.51</v>
      </c>
      <c r="E27" s="14"/>
      <c r="F27" s="14" t="n">
        <f aca="false">F26-IF(D27="",0,D27)+IF(E27="",0,E27)</f>
        <v>193361509.02</v>
      </c>
    </row>
    <row r="28" customFormat="false" ht="15" hidden="false" customHeight="false" outlineLevel="0" collapsed="false">
      <c r="A28" s="9" t="n">
        <v>45672</v>
      </c>
      <c r="B28" s="10" t="s">
        <v>44</v>
      </c>
      <c r="C28" s="10" t="s">
        <v>45</v>
      </c>
      <c r="D28" s="11" t="n">
        <v>6683735.19</v>
      </c>
      <c r="E28" s="11"/>
      <c r="F28" s="11" t="n">
        <f aca="false">F27-IF(D28="",0,D28)+IF(E28="",0,E28)</f>
        <v>186677773.83</v>
      </c>
    </row>
    <row r="29" customFormat="false" ht="15" hidden="false" customHeight="false" outlineLevel="0" collapsed="false">
      <c r="A29" s="12" t="n">
        <v>45672</v>
      </c>
      <c r="B29" s="13" t="s">
        <v>46</v>
      </c>
      <c r="C29" s="13" t="s">
        <v>47</v>
      </c>
      <c r="D29" s="14" t="n">
        <v>625614.46</v>
      </c>
      <c r="E29" s="14"/>
      <c r="F29" s="14" t="n">
        <f aca="false">F28-IF(D29="",0,D29)+IF(E29="",0,E29)</f>
        <v>186052159.37</v>
      </c>
    </row>
    <row r="30" customFormat="false" ht="15" hidden="false" customHeight="false" outlineLevel="0" collapsed="false">
      <c r="A30" s="9" t="n">
        <v>45673</v>
      </c>
      <c r="B30" s="10" t="s">
        <v>31</v>
      </c>
      <c r="C30" s="10" t="s">
        <v>48</v>
      </c>
      <c r="D30" s="11"/>
      <c r="E30" s="11" t="n">
        <v>210320.28</v>
      </c>
      <c r="F30" s="11" t="n">
        <f aca="false">F29-IF(D30="",0,D30)+IF(E30="",0,E30)</f>
        <v>186262479.65</v>
      </c>
    </row>
    <row r="31" customFormat="false" ht="15" hidden="false" customHeight="false" outlineLevel="0" collapsed="false">
      <c r="A31" s="12" t="n">
        <v>45674</v>
      </c>
      <c r="B31" s="13" t="s">
        <v>40</v>
      </c>
      <c r="C31" s="13" t="s">
        <v>49</v>
      </c>
      <c r="D31" s="14" t="n">
        <v>818590.48</v>
      </c>
      <c r="E31" s="14"/>
      <c r="F31" s="14" t="n">
        <f aca="false">F30-IF(D31="",0,D31)+IF(E31="",0,E31)</f>
        <v>185443889.17</v>
      </c>
    </row>
    <row r="32" customFormat="false" ht="15" hidden="false" customHeight="false" outlineLevel="0" collapsed="false">
      <c r="A32" s="9" t="n">
        <v>45675</v>
      </c>
      <c r="B32" s="10" t="s">
        <v>34</v>
      </c>
      <c r="C32" s="10" t="s">
        <v>50</v>
      </c>
      <c r="D32" s="11"/>
      <c r="E32" s="11" t="n">
        <v>9037791.87</v>
      </c>
      <c r="F32" s="11" t="n">
        <f aca="false">F31-IF(D32="",0,D32)+IF(E32="",0,E32)</f>
        <v>194481681.04</v>
      </c>
    </row>
    <row r="33" customFormat="false" ht="15" hidden="false" customHeight="false" outlineLevel="0" collapsed="false">
      <c r="A33" s="12" t="n">
        <v>45677</v>
      </c>
      <c r="B33" s="13" t="s">
        <v>34</v>
      </c>
      <c r="C33" s="13" t="s">
        <v>51</v>
      </c>
      <c r="D33" s="14"/>
      <c r="E33" s="14" t="n">
        <v>2922241.03</v>
      </c>
      <c r="F33" s="14" t="n">
        <f aca="false">F32-IF(D33="",0,D33)+IF(E33="",0,E33)</f>
        <v>197403922.07</v>
      </c>
    </row>
    <row r="34" customFormat="false" ht="15" hidden="false" customHeight="false" outlineLevel="0" collapsed="false">
      <c r="A34" s="9" t="n">
        <v>45678</v>
      </c>
      <c r="B34" s="10" t="s">
        <v>40</v>
      </c>
      <c r="C34" s="10" t="s">
        <v>52</v>
      </c>
      <c r="D34" s="11" t="n">
        <v>550084.21</v>
      </c>
      <c r="E34" s="11"/>
      <c r="F34" s="11" t="n">
        <f aca="false">F33-IF(D34="",0,D34)+IF(E34="",0,E34)</f>
        <v>196853837.86</v>
      </c>
    </row>
    <row r="35" customFormat="false" ht="15" hidden="false" customHeight="false" outlineLevel="0" collapsed="false">
      <c r="A35" s="12" t="n">
        <v>45678</v>
      </c>
      <c r="B35" s="13" t="s">
        <v>53</v>
      </c>
      <c r="C35" s="13" t="s">
        <v>54</v>
      </c>
      <c r="D35" s="14" t="n">
        <v>517486.32</v>
      </c>
      <c r="E35" s="14"/>
      <c r="F35" s="14" t="n">
        <f aca="false">F34-IF(D35="",0,D35)+IF(E35="",0,E35)</f>
        <v>196336351.54</v>
      </c>
    </row>
    <row r="36" customFormat="false" ht="15" hidden="false" customHeight="false" outlineLevel="0" collapsed="false">
      <c r="A36" s="9" t="n">
        <v>45678</v>
      </c>
      <c r="B36" s="10" t="s">
        <v>55</v>
      </c>
      <c r="C36" s="10" t="s">
        <v>56</v>
      </c>
      <c r="D36" s="11" t="n">
        <v>1852624.75</v>
      </c>
      <c r="E36" s="11"/>
      <c r="F36" s="11" t="n">
        <f aca="false">F35-IF(D36="",0,D36)+IF(E36="",0,E36)</f>
        <v>194483726.79</v>
      </c>
    </row>
    <row r="37" customFormat="false" ht="15" hidden="false" customHeight="false" outlineLevel="0" collapsed="false">
      <c r="A37" s="12" t="n">
        <v>45678</v>
      </c>
      <c r="B37" s="13" t="s">
        <v>40</v>
      </c>
      <c r="C37" s="13" t="s">
        <v>57</v>
      </c>
      <c r="D37" s="14" t="n">
        <v>935100.7</v>
      </c>
      <c r="E37" s="14"/>
      <c r="F37" s="14" t="n">
        <f aca="false">F36-IF(D37="",0,D37)+IF(E37="",0,E37)</f>
        <v>193548626.09</v>
      </c>
    </row>
    <row r="38" customFormat="false" ht="15" hidden="false" customHeight="false" outlineLevel="0" collapsed="false">
      <c r="A38" s="9" t="n">
        <v>45679</v>
      </c>
      <c r="B38" s="10" t="s">
        <v>27</v>
      </c>
      <c r="C38" s="10" t="s">
        <v>58</v>
      </c>
      <c r="D38" s="11"/>
      <c r="E38" s="11" t="n">
        <v>1439734.34</v>
      </c>
      <c r="F38" s="11" t="n">
        <f aca="false">F37-IF(D38="",0,D38)+IF(E38="",0,E38)</f>
        <v>194988360.43</v>
      </c>
    </row>
    <row r="39" customFormat="false" ht="15" hidden="false" customHeight="false" outlineLevel="0" collapsed="false">
      <c r="A39" s="12" t="n">
        <v>45682</v>
      </c>
      <c r="B39" s="13" t="s">
        <v>55</v>
      </c>
      <c r="C39" s="13" t="s">
        <v>59</v>
      </c>
      <c r="D39" s="14" t="n">
        <v>901575.12</v>
      </c>
      <c r="E39" s="14"/>
      <c r="F39" s="14" t="n">
        <f aca="false">F38-IF(D39="",0,D39)+IF(E39="",0,E39)</f>
        <v>194086785.31</v>
      </c>
    </row>
    <row r="40" customFormat="false" ht="15" hidden="false" customHeight="false" outlineLevel="0" collapsed="false">
      <c r="A40" s="9" t="n">
        <v>45684</v>
      </c>
      <c r="B40" s="10" t="s">
        <v>60</v>
      </c>
      <c r="C40" s="10" t="s">
        <v>61</v>
      </c>
      <c r="D40" s="11" t="n">
        <v>28224651.5</v>
      </c>
      <c r="E40" s="11"/>
      <c r="F40" s="11" t="n">
        <f aca="false">F39-IF(D40="",0,D40)+IF(E40="",0,E40)</f>
        <v>165862133.81</v>
      </c>
    </row>
    <row r="41" customFormat="false" ht="15" hidden="false" customHeight="false" outlineLevel="0" collapsed="false">
      <c r="A41" s="12" t="n">
        <v>45684</v>
      </c>
      <c r="B41" s="13" t="s">
        <v>46</v>
      </c>
      <c r="C41" s="13" t="s">
        <v>62</v>
      </c>
      <c r="D41" s="14" t="n">
        <v>755658.21</v>
      </c>
      <c r="E41" s="14"/>
      <c r="F41" s="14" t="n">
        <f aca="false">F40-IF(D41="",0,D41)+IF(E41="",0,E41)</f>
        <v>165106475.6</v>
      </c>
    </row>
    <row r="42" customFormat="false" ht="15" hidden="false" customHeight="false" outlineLevel="0" collapsed="false">
      <c r="A42" s="9" t="n">
        <v>45684</v>
      </c>
      <c r="B42" s="10" t="s">
        <v>46</v>
      </c>
      <c r="C42" s="10" t="s">
        <v>63</v>
      </c>
      <c r="D42" s="11" t="n">
        <v>267080.17</v>
      </c>
      <c r="E42" s="11"/>
      <c r="F42" s="11" t="n">
        <f aca="false">F41-IF(D42="",0,D42)+IF(E42="",0,E42)</f>
        <v>164839395.43</v>
      </c>
    </row>
    <row r="43" customFormat="false" ht="15" hidden="false" customHeight="false" outlineLevel="0" collapsed="false">
      <c r="A43" s="12" t="n">
        <v>45685</v>
      </c>
      <c r="B43" s="13" t="s">
        <v>31</v>
      </c>
      <c r="C43" s="13" t="s">
        <v>64</v>
      </c>
      <c r="D43" s="14"/>
      <c r="E43" s="14" t="n">
        <v>243094.39</v>
      </c>
      <c r="F43" s="14" t="n">
        <f aca="false">F42-IF(D43="",0,D43)+IF(E43="",0,E43)</f>
        <v>165082489.82</v>
      </c>
    </row>
    <row r="44" customFormat="false" ht="15" hidden="false" customHeight="false" outlineLevel="0" collapsed="false">
      <c r="A44" s="9" t="n">
        <v>45685</v>
      </c>
      <c r="B44" s="10" t="s">
        <v>65</v>
      </c>
      <c r="C44" s="10" t="s">
        <v>66</v>
      </c>
      <c r="D44" s="11"/>
      <c r="E44" s="11" t="n">
        <v>376640.78</v>
      </c>
      <c r="F44" s="11" t="n">
        <f aca="false">F43-IF(D44="",0,D44)+IF(E44="",0,E44)</f>
        <v>165459130.6</v>
      </c>
    </row>
    <row r="45" customFormat="false" ht="15" hidden="false" customHeight="false" outlineLevel="0" collapsed="false">
      <c r="A45" s="12" t="n">
        <v>45687</v>
      </c>
      <c r="B45" s="13" t="s">
        <v>37</v>
      </c>
      <c r="C45" s="13" t="s">
        <v>38</v>
      </c>
      <c r="D45" s="14" t="n">
        <v>1750.88</v>
      </c>
      <c r="E45" s="14"/>
      <c r="F45" s="14" t="n">
        <f aca="false">F44-IF(D45="",0,D45)+IF(E45="",0,E45)</f>
        <v>165457379.72</v>
      </c>
    </row>
    <row r="46" customFormat="false" ht="15" hidden="false" customHeight="false" outlineLevel="0" collapsed="false">
      <c r="A46" s="9" t="n">
        <v>45688</v>
      </c>
      <c r="B46" s="10" t="s">
        <v>27</v>
      </c>
      <c r="C46" s="10" t="s">
        <v>67</v>
      </c>
      <c r="D46" s="11"/>
      <c r="E46" s="11" t="n">
        <v>4269230.09</v>
      </c>
      <c r="F46" s="11" t="n">
        <f aca="false">F45-IF(D46="",0,D46)+IF(E46="",0,E46)</f>
        <v>169726609.81</v>
      </c>
    </row>
    <row r="47" customFormat="false" ht="15" hidden="false" customHeight="false" outlineLevel="0" collapsed="false">
      <c r="A47" s="12" t="n">
        <v>45688</v>
      </c>
      <c r="B47" s="13" t="s">
        <v>34</v>
      </c>
      <c r="C47" s="13" t="s">
        <v>68</v>
      </c>
      <c r="D47" s="14"/>
      <c r="E47" s="14" t="n">
        <v>2963723.28</v>
      </c>
      <c r="F47" s="14" t="n">
        <f aca="false">F46-IF(D47="",0,D47)+IF(E47="",0,E47)</f>
        <v>172690333.09</v>
      </c>
    </row>
    <row r="48" customFormat="false" ht="15" hidden="false" customHeight="false" outlineLevel="0" collapsed="false">
      <c r="A48" s="9" t="n">
        <v>45689</v>
      </c>
      <c r="B48" s="10" t="s">
        <v>27</v>
      </c>
      <c r="C48" s="10" t="s">
        <v>69</v>
      </c>
      <c r="D48" s="11"/>
      <c r="E48" s="11" t="n">
        <v>1324273.05</v>
      </c>
      <c r="F48" s="11" t="n">
        <f aca="false">F47-IF(D48="",0,D48)+IF(E48="",0,E48)</f>
        <v>174014606.14</v>
      </c>
    </row>
    <row r="49" customFormat="false" ht="15" hidden="false" customHeight="false" outlineLevel="0" collapsed="false">
      <c r="A49" s="12" t="n">
        <v>45689</v>
      </c>
      <c r="B49" s="13" t="s">
        <v>40</v>
      </c>
      <c r="C49" s="13" t="s">
        <v>70</v>
      </c>
      <c r="D49" s="14" t="n">
        <v>666353.97</v>
      </c>
      <c r="E49" s="14"/>
      <c r="F49" s="14" t="n">
        <f aca="false">F48-IF(D49="",0,D49)+IF(E49="",0,E49)</f>
        <v>173348252.17</v>
      </c>
    </row>
    <row r="50" customFormat="false" ht="15" hidden="false" customHeight="false" outlineLevel="0" collapsed="false">
      <c r="A50" s="9" t="n">
        <v>45691</v>
      </c>
      <c r="B50" s="10" t="s">
        <v>53</v>
      </c>
      <c r="C50" s="10" t="s">
        <v>71</v>
      </c>
      <c r="D50" s="11" t="n">
        <v>421597.42</v>
      </c>
      <c r="E50" s="11"/>
      <c r="F50" s="11" t="n">
        <f aca="false">F49-IF(D50="",0,D50)+IF(E50="",0,E50)</f>
        <v>172926654.75</v>
      </c>
    </row>
    <row r="51" customFormat="false" ht="15" hidden="false" customHeight="false" outlineLevel="0" collapsed="false">
      <c r="A51" s="12" t="n">
        <v>45691</v>
      </c>
      <c r="B51" s="13" t="s">
        <v>27</v>
      </c>
      <c r="C51" s="13" t="s">
        <v>72</v>
      </c>
      <c r="D51" s="14"/>
      <c r="E51" s="14" t="n">
        <v>2591951.38</v>
      </c>
      <c r="F51" s="14" t="n">
        <f aca="false">F50-IF(D51="",0,D51)+IF(E51="",0,E51)</f>
        <v>175518606.13</v>
      </c>
    </row>
    <row r="52" customFormat="false" ht="15" hidden="false" customHeight="false" outlineLevel="0" collapsed="false">
      <c r="A52" s="9" t="n">
        <v>45691</v>
      </c>
      <c r="B52" s="10" t="s">
        <v>40</v>
      </c>
      <c r="C52" s="10" t="s">
        <v>73</v>
      </c>
      <c r="D52" s="11" t="n">
        <v>1108040.6</v>
      </c>
      <c r="E52" s="11"/>
      <c r="F52" s="11" t="n">
        <f aca="false">F51-IF(D52="",0,D52)+IF(E52="",0,E52)</f>
        <v>174410565.53</v>
      </c>
    </row>
    <row r="53" customFormat="false" ht="15" hidden="false" customHeight="false" outlineLevel="0" collapsed="false">
      <c r="A53" s="12" t="n">
        <v>45691</v>
      </c>
      <c r="B53" s="13" t="s">
        <v>31</v>
      </c>
      <c r="C53" s="13" t="s">
        <v>74</v>
      </c>
      <c r="D53" s="14"/>
      <c r="E53" s="14" t="n">
        <v>350112.63</v>
      </c>
      <c r="F53" s="14" t="n">
        <f aca="false">F52-IF(D53="",0,D53)+IF(E53="",0,E53)</f>
        <v>174760678.16</v>
      </c>
    </row>
    <row r="54" customFormat="false" ht="15" hidden="false" customHeight="false" outlineLevel="0" collapsed="false">
      <c r="A54" s="9" t="n">
        <v>45693</v>
      </c>
      <c r="B54" s="10" t="s">
        <v>29</v>
      </c>
      <c r="C54" s="10" t="s">
        <v>75</v>
      </c>
      <c r="D54" s="11" t="n">
        <v>891334.48</v>
      </c>
      <c r="E54" s="11"/>
      <c r="F54" s="11" t="n">
        <f aca="false">F53-IF(D54="",0,D54)+IF(E54="",0,E54)</f>
        <v>173869343.68</v>
      </c>
    </row>
    <row r="55" customFormat="false" ht="15" hidden="false" customHeight="false" outlineLevel="0" collapsed="false">
      <c r="A55" s="12" t="n">
        <v>45693</v>
      </c>
      <c r="B55" s="13" t="s">
        <v>65</v>
      </c>
      <c r="C55" s="13" t="s">
        <v>66</v>
      </c>
      <c r="D55" s="14"/>
      <c r="E55" s="14" t="n">
        <v>205095.76</v>
      </c>
      <c r="F55" s="14" t="n">
        <f aca="false">F54-IF(D55="",0,D55)+IF(E55="",0,E55)</f>
        <v>174074439.44</v>
      </c>
    </row>
    <row r="56" customFormat="false" ht="15" hidden="false" customHeight="false" outlineLevel="0" collapsed="false">
      <c r="A56" s="9" t="n">
        <v>45694</v>
      </c>
      <c r="B56" s="10" t="s">
        <v>27</v>
      </c>
      <c r="C56" s="10" t="s">
        <v>76</v>
      </c>
      <c r="D56" s="11"/>
      <c r="E56" s="11" t="n">
        <v>5973451.6</v>
      </c>
      <c r="F56" s="11" t="n">
        <f aca="false">F55-IF(D56="",0,D56)+IF(E56="",0,E56)</f>
        <v>180047891.04</v>
      </c>
    </row>
    <row r="57" customFormat="false" ht="15" hidden="false" customHeight="false" outlineLevel="0" collapsed="false">
      <c r="A57" s="12" t="n">
        <v>45695</v>
      </c>
      <c r="B57" s="13" t="s">
        <v>53</v>
      </c>
      <c r="C57" s="13" t="s">
        <v>77</v>
      </c>
      <c r="D57" s="14" t="n">
        <v>719816.22</v>
      </c>
      <c r="E57" s="14"/>
      <c r="F57" s="14" t="n">
        <f aca="false">F56-IF(D57="",0,D57)+IF(E57="",0,E57)</f>
        <v>179328074.82</v>
      </c>
    </row>
    <row r="58" customFormat="false" ht="15" hidden="false" customHeight="false" outlineLevel="0" collapsed="false">
      <c r="A58" s="9" t="n">
        <v>45695</v>
      </c>
      <c r="B58" s="10" t="s">
        <v>34</v>
      </c>
      <c r="C58" s="10" t="s">
        <v>78</v>
      </c>
      <c r="D58" s="11"/>
      <c r="E58" s="11" t="n">
        <v>7160573.34</v>
      </c>
      <c r="F58" s="11" t="n">
        <f aca="false">F57-IF(D58="",0,D58)+IF(E58="",0,E58)</f>
        <v>186488648.16</v>
      </c>
    </row>
    <row r="59" customFormat="false" ht="15" hidden="false" customHeight="false" outlineLevel="0" collapsed="false">
      <c r="A59" s="12" t="n">
        <v>45696</v>
      </c>
      <c r="B59" s="13" t="s">
        <v>79</v>
      </c>
      <c r="C59" s="13" t="s">
        <v>80</v>
      </c>
      <c r="D59" s="14"/>
      <c r="E59" s="14" t="n">
        <v>378625.5</v>
      </c>
      <c r="F59" s="14" t="n">
        <f aca="false">F58-IF(D59="",0,D59)+IF(E59="",0,E59)</f>
        <v>186867273.66</v>
      </c>
    </row>
    <row r="60" customFormat="false" ht="15" hidden="false" customHeight="false" outlineLevel="0" collapsed="false">
      <c r="A60" s="9" t="n">
        <v>45698</v>
      </c>
      <c r="B60" s="10" t="s">
        <v>79</v>
      </c>
      <c r="C60" s="10" t="s">
        <v>81</v>
      </c>
      <c r="D60" s="11"/>
      <c r="E60" s="11" t="n">
        <v>53260.41</v>
      </c>
      <c r="F60" s="11" t="n">
        <f aca="false">F59-IF(D60="",0,D60)+IF(E60="",0,E60)</f>
        <v>186920534.07</v>
      </c>
    </row>
    <row r="61" customFormat="false" ht="15" hidden="false" customHeight="false" outlineLevel="0" collapsed="false">
      <c r="A61" s="12" t="n">
        <v>45700</v>
      </c>
      <c r="B61" s="13" t="s">
        <v>40</v>
      </c>
      <c r="C61" s="13" t="s">
        <v>82</v>
      </c>
      <c r="D61" s="14" t="n">
        <v>1181818.16</v>
      </c>
      <c r="E61" s="14"/>
      <c r="F61" s="14" t="n">
        <f aca="false">F60-IF(D61="",0,D61)+IF(E61="",0,E61)</f>
        <v>185738715.91</v>
      </c>
    </row>
    <row r="62" customFormat="false" ht="15" hidden="false" customHeight="false" outlineLevel="0" collapsed="false">
      <c r="A62" s="9" t="n">
        <v>45701</v>
      </c>
      <c r="B62" s="10" t="s">
        <v>53</v>
      </c>
      <c r="C62" s="10" t="s">
        <v>83</v>
      </c>
      <c r="D62" s="11" t="n">
        <v>274059.43</v>
      </c>
      <c r="E62" s="11"/>
      <c r="F62" s="11" t="n">
        <f aca="false">F61-IF(D62="",0,D62)+IF(E62="",0,E62)</f>
        <v>185464656.48</v>
      </c>
    </row>
    <row r="63" customFormat="false" ht="15" hidden="false" customHeight="false" outlineLevel="0" collapsed="false">
      <c r="A63" s="12" t="n">
        <v>45701</v>
      </c>
      <c r="B63" s="13" t="s">
        <v>34</v>
      </c>
      <c r="C63" s="13" t="s">
        <v>84</v>
      </c>
      <c r="D63" s="14"/>
      <c r="E63" s="14" t="n">
        <v>10308497.38</v>
      </c>
      <c r="F63" s="14" t="n">
        <f aca="false">F62-IF(D63="",0,D63)+IF(E63="",0,E63)</f>
        <v>195773153.86</v>
      </c>
    </row>
    <row r="64" customFormat="false" ht="15" hidden="false" customHeight="false" outlineLevel="0" collapsed="false">
      <c r="A64" s="9" t="n">
        <v>45704</v>
      </c>
      <c r="B64" s="10" t="s">
        <v>25</v>
      </c>
      <c r="C64" s="10" t="s">
        <v>85</v>
      </c>
      <c r="D64" s="11" t="n">
        <v>639110.3</v>
      </c>
      <c r="E64" s="11"/>
      <c r="F64" s="11" t="n">
        <f aca="false">F63-IF(D64="",0,D64)+IF(E64="",0,E64)</f>
        <v>195134043.56</v>
      </c>
    </row>
    <row r="65" customFormat="false" ht="15" hidden="false" customHeight="false" outlineLevel="0" collapsed="false">
      <c r="A65" s="12" t="n">
        <v>45704</v>
      </c>
      <c r="B65" s="13" t="s">
        <v>37</v>
      </c>
      <c r="C65" s="13" t="s">
        <v>38</v>
      </c>
      <c r="D65" s="14" t="n">
        <v>4130.49</v>
      </c>
      <c r="E65" s="14"/>
      <c r="F65" s="14" t="n">
        <f aca="false">F64-IF(D65="",0,D65)+IF(E65="",0,E65)</f>
        <v>195129913.07</v>
      </c>
    </row>
    <row r="66" customFormat="false" ht="15" hidden="false" customHeight="false" outlineLevel="0" collapsed="false">
      <c r="A66" s="9" t="n">
        <v>45706</v>
      </c>
      <c r="B66" s="10" t="s">
        <v>27</v>
      </c>
      <c r="C66" s="10" t="s">
        <v>86</v>
      </c>
      <c r="D66" s="11"/>
      <c r="E66" s="11" t="n">
        <v>1646207.39</v>
      </c>
      <c r="F66" s="11" t="n">
        <f aca="false">F65-IF(D66="",0,D66)+IF(E66="",0,E66)</f>
        <v>196776120.46</v>
      </c>
    </row>
    <row r="67" customFormat="false" ht="15" hidden="false" customHeight="false" outlineLevel="0" collapsed="false">
      <c r="A67" s="12" t="n">
        <v>45707</v>
      </c>
      <c r="B67" s="13" t="s">
        <v>27</v>
      </c>
      <c r="C67" s="13" t="s">
        <v>87</v>
      </c>
      <c r="D67" s="14"/>
      <c r="E67" s="14" t="n">
        <v>3268863.2</v>
      </c>
      <c r="F67" s="14" t="n">
        <f aca="false">F66-IF(D67="",0,D67)+IF(E67="",0,E67)</f>
        <v>200044983.66</v>
      </c>
    </row>
    <row r="68" customFormat="false" ht="15" hidden="false" customHeight="false" outlineLevel="0" collapsed="false">
      <c r="A68" s="9" t="n">
        <v>45707</v>
      </c>
      <c r="B68" s="10" t="s">
        <v>34</v>
      </c>
      <c r="C68" s="10" t="s">
        <v>88</v>
      </c>
      <c r="D68" s="11"/>
      <c r="E68" s="11" t="n">
        <v>9528987.6</v>
      </c>
      <c r="F68" s="11" t="n">
        <f aca="false">F67-IF(D68="",0,D68)+IF(E68="",0,E68)</f>
        <v>209573971.26</v>
      </c>
    </row>
    <row r="69" customFormat="false" ht="15" hidden="false" customHeight="false" outlineLevel="0" collapsed="false">
      <c r="A69" s="12" t="n">
        <v>45708</v>
      </c>
      <c r="B69" s="13" t="s">
        <v>27</v>
      </c>
      <c r="C69" s="13" t="s">
        <v>89</v>
      </c>
      <c r="D69" s="14"/>
      <c r="E69" s="14" t="n">
        <v>1454987.3</v>
      </c>
      <c r="F69" s="14" t="n">
        <f aca="false">F68-IF(D69="",0,D69)+IF(E69="",0,E69)</f>
        <v>211028958.56</v>
      </c>
    </row>
    <row r="70" customFormat="false" ht="15" hidden="false" customHeight="false" outlineLevel="0" collapsed="false">
      <c r="A70" s="9" t="n">
        <v>45709</v>
      </c>
      <c r="B70" s="10" t="s">
        <v>34</v>
      </c>
      <c r="C70" s="10" t="s">
        <v>90</v>
      </c>
      <c r="D70" s="11"/>
      <c r="E70" s="11" t="n">
        <v>11001065.43</v>
      </c>
      <c r="F70" s="11" t="n">
        <f aca="false">F69-IF(D70="",0,D70)+IF(E70="",0,E70)</f>
        <v>222030023.99</v>
      </c>
    </row>
    <row r="71" customFormat="false" ht="15" hidden="false" customHeight="false" outlineLevel="0" collapsed="false">
      <c r="A71" s="12" t="n">
        <v>45709</v>
      </c>
      <c r="B71" s="13" t="s">
        <v>27</v>
      </c>
      <c r="C71" s="13" t="s">
        <v>91</v>
      </c>
      <c r="D71" s="14"/>
      <c r="E71" s="14" t="n">
        <v>3155252.5</v>
      </c>
      <c r="F71" s="14" t="n">
        <f aca="false">F70-IF(D71="",0,D71)+IF(E71="",0,E71)</f>
        <v>225185276.49</v>
      </c>
    </row>
    <row r="72" customFormat="false" ht="15" hidden="false" customHeight="false" outlineLevel="0" collapsed="false">
      <c r="A72" s="9" t="n">
        <v>45709</v>
      </c>
      <c r="B72" s="10" t="s">
        <v>37</v>
      </c>
      <c r="C72" s="10" t="s">
        <v>38</v>
      </c>
      <c r="D72" s="11" t="n">
        <v>2205.38</v>
      </c>
      <c r="E72" s="11"/>
      <c r="F72" s="11" t="n">
        <f aca="false">F71-IF(D72="",0,D72)+IF(E72="",0,E72)</f>
        <v>225183071.11</v>
      </c>
    </row>
    <row r="73" customFormat="false" ht="15" hidden="false" customHeight="false" outlineLevel="0" collapsed="false">
      <c r="A73" s="12" t="n">
        <v>45709</v>
      </c>
      <c r="B73" s="13" t="s">
        <v>27</v>
      </c>
      <c r="C73" s="13" t="s">
        <v>92</v>
      </c>
      <c r="D73" s="14"/>
      <c r="E73" s="14" t="n">
        <v>1221036.76</v>
      </c>
      <c r="F73" s="14" t="n">
        <f aca="false">F72-IF(D73="",0,D73)+IF(E73="",0,E73)</f>
        <v>226404107.87</v>
      </c>
    </row>
    <row r="74" customFormat="false" ht="15" hidden="false" customHeight="false" outlineLevel="0" collapsed="false">
      <c r="A74" s="9" t="n">
        <v>45710</v>
      </c>
      <c r="B74" s="10" t="s">
        <v>65</v>
      </c>
      <c r="C74" s="10" t="s">
        <v>66</v>
      </c>
      <c r="D74" s="11"/>
      <c r="E74" s="11" t="n">
        <v>68959.92</v>
      </c>
      <c r="F74" s="11" t="n">
        <f aca="false">F73-IF(D74="",0,D74)+IF(E74="",0,E74)</f>
        <v>226473067.79</v>
      </c>
    </row>
    <row r="75" customFormat="false" ht="15" hidden="false" customHeight="false" outlineLevel="0" collapsed="false">
      <c r="A75" s="12" t="n">
        <v>45712</v>
      </c>
      <c r="B75" s="13" t="s">
        <v>31</v>
      </c>
      <c r="C75" s="13" t="s">
        <v>93</v>
      </c>
      <c r="D75" s="14"/>
      <c r="E75" s="14" t="n">
        <v>1157371.28</v>
      </c>
      <c r="F75" s="14" t="n">
        <f aca="false">F74-IF(D75="",0,D75)+IF(E75="",0,E75)</f>
        <v>227630439.07</v>
      </c>
    </row>
    <row r="76" customFormat="false" ht="15" hidden="false" customHeight="false" outlineLevel="0" collapsed="false">
      <c r="A76" s="9" t="n">
        <v>45714</v>
      </c>
      <c r="B76" s="10" t="s">
        <v>53</v>
      </c>
      <c r="C76" s="10" t="s">
        <v>94</v>
      </c>
      <c r="D76" s="11" t="n">
        <v>311762</v>
      </c>
      <c r="E76" s="11"/>
      <c r="F76" s="11" t="n">
        <f aca="false">F75-IF(D76="",0,D76)+IF(E76="",0,E76)</f>
        <v>227318677.07</v>
      </c>
    </row>
    <row r="77" customFormat="false" ht="15" hidden="false" customHeight="false" outlineLevel="0" collapsed="false">
      <c r="A77" s="12" t="n">
        <v>45715</v>
      </c>
      <c r="B77" s="13" t="s">
        <v>60</v>
      </c>
      <c r="C77" s="13" t="s">
        <v>95</v>
      </c>
      <c r="D77" s="14" t="n">
        <v>28222003.23</v>
      </c>
      <c r="E77" s="14"/>
      <c r="F77" s="14" t="n">
        <f aca="false">F76-IF(D77="",0,D77)+IF(E77="",0,E77)</f>
        <v>199096673.84</v>
      </c>
    </row>
    <row r="78" customFormat="false" ht="15" hidden="false" customHeight="false" outlineLevel="0" collapsed="false">
      <c r="A78" s="9" t="n">
        <v>45715</v>
      </c>
      <c r="B78" s="10" t="s">
        <v>27</v>
      </c>
      <c r="C78" s="10" t="s">
        <v>96</v>
      </c>
      <c r="D78" s="11"/>
      <c r="E78" s="11" t="n">
        <v>428512.65</v>
      </c>
      <c r="F78" s="11" t="n">
        <f aca="false">F77-IF(D78="",0,D78)+IF(E78="",0,E78)</f>
        <v>199525186.49</v>
      </c>
    </row>
    <row r="79" customFormat="false" ht="15" hidden="false" customHeight="false" outlineLevel="0" collapsed="false">
      <c r="A79" s="12" t="n">
        <v>45716</v>
      </c>
      <c r="B79" s="13" t="s">
        <v>27</v>
      </c>
      <c r="C79" s="13" t="s">
        <v>97</v>
      </c>
      <c r="D79" s="14"/>
      <c r="E79" s="14" t="n">
        <v>3959960.29</v>
      </c>
      <c r="F79" s="14" t="n">
        <f aca="false">F78-IF(D79="",0,D79)+IF(E79="",0,E79)</f>
        <v>203485146.78</v>
      </c>
    </row>
    <row r="80" customFormat="false" ht="15" hidden="false" customHeight="false" outlineLevel="0" collapsed="false">
      <c r="A80" s="9" t="n">
        <v>45718</v>
      </c>
      <c r="B80" s="10" t="s">
        <v>29</v>
      </c>
      <c r="C80" s="10" t="s">
        <v>98</v>
      </c>
      <c r="D80" s="11" t="n">
        <v>892141.31</v>
      </c>
      <c r="E80" s="11"/>
      <c r="F80" s="11" t="n">
        <f aca="false">F79-IF(D80="",0,D80)+IF(E80="",0,E80)</f>
        <v>202593005.47</v>
      </c>
    </row>
    <row r="81" customFormat="false" ht="15" hidden="false" customHeight="false" outlineLevel="0" collapsed="false">
      <c r="A81" s="12" t="n">
        <v>45721</v>
      </c>
      <c r="B81" s="13" t="s">
        <v>27</v>
      </c>
      <c r="C81" s="13" t="s">
        <v>99</v>
      </c>
      <c r="D81" s="14"/>
      <c r="E81" s="14" t="n">
        <v>2861340.75</v>
      </c>
      <c r="F81" s="14" t="n">
        <f aca="false">F80-IF(D81="",0,D81)+IF(E81="",0,E81)</f>
        <v>205454346.22</v>
      </c>
    </row>
    <row r="82" customFormat="false" ht="15" hidden="false" customHeight="false" outlineLevel="0" collapsed="false">
      <c r="A82" s="9" t="n">
        <v>45722</v>
      </c>
      <c r="B82" s="10" t="s">
        <v>25</v>
      </c>
      <c r="C82" s="10" t="s">
        <v>100</v>
      </c>
      <c r="D82" s="11" t="n">
        <v>1247827.71</v>
      </c>
      <c r="E82" s="11"/>
      <c r="F82" s="11" t="n">
        <f aca="false">F81-IF(D82="",0,D82)+IF(E82="",0,E82)</f>
        <v>204206518.51</v>
      </c>
    </row>
    <row r="83" customFormat="false" ht="15" hidden="false" customHeight="false" outlineLevel="0" collapsed="false">
      <c r="A83" s="12" t="n">
        <v>45722</v>
      </c>
      <c r="B83" s="13" t="s">
        <v>65</v>
      </c>
      <c r="C83" s="13" t="s">
        <v>66</v>
      </c>
      <c r="D83" s="14"/>
      <c r="E83" s="14" t="n">
        <v>67779.61</v>
      </c>
      <c r="F83" s="14" t="n">
        <f aca="false">F82-IF(D83="",0,D83)+IF(E83="",0,E83)</f>
        <v>204274298.12</v>
      </c>
    </row>
    <row r="84" customFormat="false" ht="15" hidden="false" customHeight="false" outlineLevel="0" collapsed="false">
      <c r="A84" s="9" t="n">
        <v>45726</v>
      </c>
      <c r="B84" s="10" t="s">
        <v>40</v>
      </c>
      <c r="C84" s="10" t="s">
        <v>101</v>
      </c>
      <c r="D84" s="11" t="n">
        <v>893775.74</v>
      </c>
      <c r="E84" s="11"/>
      <c r="F84" s="11" t="n">
        <f aca="false">F83-IF(D84="",0,D84)+IF(E84="",0,E84)</f>
        <v>203380522.38</v>
      </c>
    </row>
    <row r="85" customFormat="false" ht="15" hidden="false" customHeight="false" outlineLevel="0" collapsed="false">
      <c r="A85" s="12" t="n">
        <v>45727</v>
      </c>
      <c r="B85" s="13" t="s">
        <v>27</v>
      </c>
      <c r="C85" s="13" t="s">
        <v>102</v>
      </c>
      <c r="D85" s="14"/>
      <c r="E85" s="14" t="n">
        <v>398668.94</v>
      </c>
      <c r="F85" s="14" t="n">
        <f aca="false">F84-IF(D85="",0,D85)+IF(E85="",0,E85)</f>
        <v>203779191.32</v>
      </c>
    </row>
    <row r="86" customFormat="false" ht="15" hidden="false" customHeight="false" outlineLevel="0" collapsed="false">
      <c r="A86" s="9" t="n">
        <v>45728</v>
      </c>
      <c r="B86" s="10" t="s">
        <v>37</v>
      </c>
      <c r="C86" s="10" t="s">
        <v>38</v>
      </c>
      <c r="D86" s="11" t="n">
        <v>3561.28</v>
      </c>
      <c r="E86" s="11"/>
      <c r="F86" s="11" t="n">
        <f aca="false">F85-IF(D86="",0,D86)+IF(E86="",0,E86)</f>
        <v>203775630.04</v>
      </c>
    </row>
    <row r="87" customFormat="false" ht="15" hidden="false" customHeight="false" outlineLevel="0" collapsed="false">
      <c r="A87" s="12" t="n">
        <v>45728</v>
      </c>
      <c r="B87" s="13" t="s">
        <v>27</v>
      </c>
      <c r="C87" s="13" t="s">
        <v>103</v>
      </c>
      <c r="D87" s="14"/>
      <c r="E87" s="14" t="n">
        <v>3945083.73</v>
      </c>
      <c r="F87" s="14" t="n">
        <f aca="false">F86-IF(D87="",0,D87)+IF(E87="",0,E87)</f>
        <v>207720713.77</v>
      </c>
    </row>
    <row r="88" customFormat="false" ht="15" hidden="false" customHeight="false" outlineLevel="0" collapsed="false">
      <c r="A88" s="9" t="n">
        <v>45728</v>
      </c>
      <c r="B88" s="10" t="s">
        <v>27</v>
      </c>
      <c r="C88" s="10" t="s">
        <v>104</v>
      </c>
      <c r="D88" s="11"/>
      <c r="E88" s="11" t="n">
        <v>4496878.74</v>
      </c>
      <c r="F88" s="11" t="n">
        <f aca="false">F87-IF(D88="",0,D88)+IF(E88="",0,E88)</f>
        <v>212217592.51</v>
      </c>
    </row>
    <row r="89" customFormat="false" ht="15" hidden="false" customHeight="false" outlineLevel="0" collapsed="false">
      <c r="A89" s="12" t="n">
        <v>45729</v>
      </c>
      <c r="B89" s="13" t="s">
        <v>46</v>
      </c>
      <c r="C89" s="13" t="s">
        <v>105</v>
      </c>
      <c r="D89" s="14" t="n">
        <v>208357.78</v>
      </c>
      <c r="E89" s="14"/>
      <c r="F89" s="14" t="n">
        <f aca="false">F88-IF(D89="",0,D89)+IF(E89="",0,E89)</f>
        <v>212009234.73</v>
      </c>
    </row>
    <row r="90" customFormat="false" ht="15" hidden="false" customHeight="false" outlineLevel="0" collapsed="false">
      <c r="A90" s="9" t="n">
        <v>45729</v>
      </c>
      <c r="B90" s="10" t="s">
        <v>27</v>
      </c>
      <c r="C90" s="10" t="s">
        <v>106</v>
      </c>
      <c r="D90" s="11"/>
      <c r="E90" s="11" t="n">
        <v>4260971.58</v>
      </c>
      <c r="F90" s="11" t="n">
        <f aca="false">F89-IF(D90="",0,D90)+IF(E90="",0,E90)</f>
        <v>216270206.31</v>
      </c>
    </row>
    <row r="91" customFormat="false" ht="15" hidden="false" customHeight="false" outlineLevel="0" collapsed="false">
      <c r="A91" s="12" t="n">
        <v>45730</v>
      </c>
      <c r="B91" s="13" t="s">
        <v>37</v>
      </c>
      <c r="C91" s="13" t="s">
        <v>38</v>
      </c>
      <c r="D91" s="14" t="n">
        <v>1456.82</v>
      </c>
      <c r="E91" s="14"/>
      <c r="F91" s="14" t="n">
        <f aca="false">F90-IF(D91="",0,D91)+IF(E91="",0,E91)</f>
        <v>216268749.49</v>
      </c>
    </row>
    <row r="92" customFormat="false" ht="15" hidden="false" customHeight="false" outlineLevel="0" collapsed="false">
      <c r="A92" s="9" t="n">
        <v>45731</v>
      </c>
      <c r="B92" s="10" t="s">
        <v>107</v>
      </c>
      <c r="C92" s="10" t="s">
        <v>108</v>
      </c>
      <c r="D92" s="11"/>
      <c r="E92" s="11" t="n">
        <v>6683735.19</v>
      </c>
      <c r="F92" s="11" t="n">
        <f aca="false">F91-IF(D92="",0,D92)+IF(E92="",0,E92)</f>
        <v>222952484.68</v>
      </c>
    </row>
    <row r="93" customFormat="false" ht="15" hidden="false" customHeight="false" outlineLevel="0" collapsed="false">
      <c r="A93" s="12" t="n">
        <v>45732</v>
      </c>
      <c r="B93" s="13" t="s">
        <v>65</v>
      </c>
      <c r="C93" s="13" t="s">
        <v>66</v>
      </c>
      <c r="D93" s="14"/>
      <c r="E93" s="14" t="n">
        <v>235894.15</v>
      </c>
      <c r="F93" s="14" t="n">
        <f aca="false">F92-IF(D93="",0,D93)+IF(E93="",0,E93)</f>
        <v>223188378.83</v>
      </c>
    </row>
    <row r="94" customFormat="false" ht="15" hidden="false" customHeight="false" outlineLevel="0" collapsed="false">
      <c r="A94" s="9" t="n">
        <v>45732</v>
      </c>
      <c r="B94" s="10" t="s">
        <v>55</v>
      </c>
      <c r="C94" s="10" t="s">
        <v>109</v>
      </c>
      <c r="D94" s="11" t="n">
        <v>1875941.89</v>
      </c>
      <c r="E94" s="11"/>
      <c r="F94" s="11" t="n">
        <f aca="false">F93-IF(D94="",0,D94)+IF(E94="",0,E94)</f>
        <v>221312436.94</v>
      </c>
    </row>
    <row r="95" customFormat="false" ht="15" hidden="false" customHeight="false" outlineLevel="0" collapsed="false">
      <c r="A95" s="12" t="n">
        <v>45733</v>
      </c>
      <c r="B95" s="13" t="s">
        <v>34</v>
      </c>
      <c r="C95" s="13" t="s">
        <v>110</v>
      </c>
      <c r="D95" s="14"/>
      <c r="E95" s="14" t="n">
        <v>9226284.72</v>
      </c>
      <c r="F95" s="14" t="n">
        <f aca="false">F94-IF(D95="",0,D95)+IF(E95="",0,E95)</f>
        <v>230538721.66</v>
      </c>
    </row>
    <row r="96" customFormat="false" ht="15" hidden="false" customHeight="false" outlineLevel="0" collapsed="false">
      <c r="A96" s="9" t="n">
        <v>45734</v>
      </c>
      <c r="B96" s="10" t="s">
        <v>27</v>
      </c>
      <c r="C96" s="10" t="s">
        <v>111</v>
      </c>
      <c r="D96" s="11"/>
      <c r="E96" s="11" t="n">
        <v>1973628.38</v>
      </c>
      <c r="F96" s="11" t="n">
        <f aca="false">F95-IF(D96="",0,D96)+IF(E96="",0,E96)</f>
        <v>232512350.04</v>
      </c>
    </row>
    <row r="97" customFormat="false" ht="15" hidden="false" customHeight="false" outlineLevel="0" collapsed="false">
      <c r="A97" s="12" t="n">
        <v>45737</v>
      </c>
      <c r="B97" s="13" t="s">
        <v>31</v>
      </c>
      <c r="C97" s="13" t="s">
        <v>112</v>
      </c>
      <c r="D97" s="14"/>
      <c r="E97" s="14" t="n">
        <v>202565.01</v>
      </c>
      <c r="F97" s="14" t="n">
        <f aca="false">F96-IF(D97="",0,D97)+IF(E97="",0,E97)</f>
        <v>232714915.05</v>
      </c>
    </row>
    <row r="98" customFormat="false" ht="15" hidden="false" customHeight="false" outlineLevel="0" collapsed="false">
      <c r="A98" s="9" t="n">
        <v>45739</v>
      </c>
      <c r="B98" s="10" t="s">
        <v>53</v>
      </c>
      <c r="C98" s="10" t="s">
        <v>113</v>
      </c>
      <c r="D98" s="11" t="n">
        <v>359126.68</v>
      </c>
      <c r="E98" s="11"/>
      <c r="F98" s="11" t="n">
        <f aca="false">F97-IF(D98="",0,D98)+IF(E98="",0,E98)</f>
        <v>232355788.37</v>
      </c>
    </row>
    <row r="99" customFormat="false" ht="15" hidden="false" customHeight="false" outlineLevel="0" collapsed="false">
      <c r="A99" s="12" t="n">
        <v>45739</v>
      </c>
      <c r="B99" s="13" t="s">
        <v>46</v>
      </c>
      <c r="C99" s="13" t="s">
        <v>114</v>
      </c>
      <c r="D99" s="14" t="n">
        <v>579229.98</v>
      </c>
      <c r="E99" s="14"/>
      <c r="F99" s="14" t="n">
        <f aca="false">F98-IF(D99="",0,D99)+IF(E99="",0,E99)</f>
        <v>231776558.39</v>
      </c>
    </row>
    <row r="100" customFormat="false" ht="15" hidden="false" customHeight="false" outlineLevel="0" collapsed="false">
      <c r="A100" s="9" t="n">
        <v>45739</v>
      </c>
      <c r="B100" s="10" t="s">
        <v>27</v>
      </c>
      <c r="C100" s="10" t="s">
        <v>115</v>
      </c>
      <c r="D100" s="11"/>
      <c r="E100" s="11" t="n">
        <v>455703.22</v>
      </c>
      <c r="F100" s="11" t="n">
        <f aca="false">F99-IF(D100="",0,D100)+IF(E100="",0,E100)</f>
        <v>232232261.61</v>
      </c>
    </row>
    <row r="101" customFormat="false" ht="15" hidden="false" customHeight="false" outlineLevel="0" collapsed="false">
      <c r="A101" s="12" t="n">
        <v>45740</v>
      </c>
      <c r="B101" s="13" t="s">
        <v>27</v>
      </c>
      <c r="C101" s="13" t="s">
        <v>116</v>
      </c>
      <c r="D101" s="14"/>
      <c r="E101" s="14" t="n">
        <v>894453.12</v>
      </c>
      <c r="F101" s="14" t="n">
        <f aca="false">F100-IF(D101="",0,D101)+IF(E101="",0,E101)</f>
        <v>233126714.73</v>
      </c>
    </row>
    <row r="102" customFormat="false" ht="15" hidden="false" customHeight="false" outlineLevel="0" collapsed="false">
      <c r="A102" s="9" t="n">
        <v>45740</v>
      </c>
      <c r="B102" s="10" t="s">
        <v>27</v>
      </c>
      <c r="C102" s="10" t="s">
        <v>117</v>
      </c>
      <c r="D102" s="11"/>
      <c r="E102" s="11" t="n">
        <v>2721638.45</v>
      </c>
      <c r="F102" s="11" t="n">
        <f aca="false">F101-IF(D102="",0,D102)+IF(E102="",0,E102)</f>
        <v>235848353.18</v>
      </c>
    </row>
    <row r="103" customFormat="false" ht="15" hidden="false" customHeight="false" outlineLevel="0" collapsed="false">
      <c r="A103" s="12" t="n">
        <v>45741</v>
      </c>
      <c r="B103" s="13" t="s">
        <v>40</v>
      </c>
      <c r="C103" s="13" t="s">
        <v>118</v>
      </c>
      <c r="D103" s="14" t="n">
        <v>498396.56</v>
      </c>
      <c r="E103" s="14"/>
      <c r="F103" s="14" t="n">
        <f aca="false">F102-IF(D103="",0,D103)+IF(E103="",0,E103)</f>
        <v>235349956.62</v>
      </c>
    </row>
    <row r="104" customFormat="false" ht="15" hidden="false" customHeight="false" outlineLevel="0" collapsed="false">
      <c r="A104" s="9" t="n">
        <v>45741</v>
      </c>
      <c r="B104" s="10" t="s">
        <v>31</v>
      </c>
      <c r="C104" s="10" t="s">
        <v>119</v>
      </c>
      <c r="D104" s="11"/>
      <c r="E104" s="11" t="n">
        <v>184857.74</v>
      </c>
      <c r="F104" s="11" t="n">
        <f aca="false">F103-IF(D104="",0,D104)+IF(E104="",0,E104)</f>
        <v>235534814.36</v>
      </c>
    </row>
    <row r="105" customFormat="false" ht="15" hidden="false" customHeight="false" outlineLevel="0" collapsed="false">
      <c r="A105" s="12" t="n">
        <v>45741</v>
      </c>
      <c r="B105" s="13" t="s">
        <v>55</v>
      </c>
      <c r="C105" s="13" t="s">
        <v>120</v>
      </c>
      <c r="D105" s="14" t="n">
        <v>1652497.86</v>
      </c>
      <c r="E105" s="14"/>
      <c r="F105" s="14" t="n">
        <f aca="false">F104-IF(D105="",0,D105)+IF(E105="",0,E105)</f>
        <v>233882316.5</v>
      </c>
    </row>
    <row r="106" customFormat="false" ht="15" hidden="false" customHeight="false" outlineLevel="0" collapsed="false">
      <c r="A106" s="9" t="n">
        <v>45742</v>
      </c>
      <c r="B106" s="10" t="s">
        <v>34</v>
      </c>
      <c r="C106" s="10" t="s">
        <v>121</v>
      </c>
      <c r="D106" s="11"/>
      <c r="E106" s="11" t="n">
        <v>11830047.49</v>
      </c>
      <c r="F106" s="11" t="n">
        <f aca="false">F105-IF(D106="",0,D106)+IF(E106="",0,E106)</f>
        <v>245712363.99</v>
      </c>
    </row>
    <row r="107" customFormat="false" ht="15" hidden="false" customHeight="false" outlineLevel="0" collapsed="false">
      <c r="A107" s="12" t="n">
        <v>45743</v>
      </c>
      <c r="B107" s="13" t="s">
        <v>60</v>
      </c>
      <c r="C107" s="13" t="s">
        <v>122</v>
      </c>
      <c r="D107" s="14" t="n">
        <v>26281085.72</v>
      </c>
      <c r="E107" s="14"/>
      <c r="F107" s="14" t="n">
        <f aca="false">F106-IF(D107="",0,D107)+IF(E107="",0,E107)</f>
        <v>219431278.27</v>
      </c>
    </row>
    <row r="108" customFormat="false" ht="15" hidden="false" customHeight="false" outlineLevel="0" collapsed="false">
      <c r="A108" s="9" t="n">
        <v>45743</v>
      </c>
      <c r="B108" s="10" t="s">
        <v>46</v>
      </c>
      <c r="C108" s="10" t="s">
        <v>123</v>
      </c>
      <c r="D108" s="11" t="n">
        <v>729729.86</v>
      </c>
      <c r="E108" s="11"/>
      <c r="F108" s="11" t="n">
        <f aca="false">F107-IF(D108="",0,D108)+IF(E108="",0,E108)</f>
        <v>218701548.41</v>
      </c>
    </row>
    <row r="109" customFormat="false" ht="15" hidden="false" customHeight="false" outlineLevel="0" collapsed="false">
      <c r="A109" s="12" t="n">
        <v>45746</v>
      </c>
      <c r="B109" s="13" t="s">
        <v>34</v>
      </c>
      <c r="C109" s="13" t="s">
        <v>124</v>
      </c>
      <c r="D109" s="14"/>
      <c r="E109" s="14" t="n">
        <v>5088411.45</v>
      </c>
      <c r="F109" s="14" t="n">
        <f aca="false">F108-IF(D109="",0,D109)+IF(E109="",0,E109)</f>
        <v>223789959.86</v>
      </c>
    </row>
    <row r="111" customFormat="false" ht="15" hidden="false" customHeight="false" outlineLevel="0" collapsed="false">
      <c r="A111" s="15" t="s">
        <v>125</v>
      </c>
      <c r="B111" s="16" t="n">
        <f aca="false">SUM(E14:E109)</f>
        <v>156663139.3</v>
      </c>
    </row>
    <row r="112" customFormat="false" ht="15" hidden="false" customHeight="false" outlineLevel="0" collapsed="false">
      <c r="A112" s="15" t="s">
        <v>126</v>
      </c>
      <c r="B112" s="16" t="n">
        <f aca="false">SUM(D14:D109)</f>
        <v>117905289.89</v>
      </c>
    </row>
    <row r="113" customFormat="false" ht="15" hidden="false" customHeight="false" outlineLevel="0" collapsed="false">
      <c r="A113" s="15" t="s">
        <v>127</v>
      </c>
      <c r="B113" s="17" t="n">
        <f aca="false">COUNTA(A14:A109)</f>
        <v>96</v>
      </c>
    </row>
    <row r="114" customFormat="false" ht="15" hidden="false" customHeight="false" outlineLevel="0" collapsed="false">
      <c r="A114" s="15" t="s">
        <v>17</v>
      </c>
      <c r="B114" s="16" t="n">
        <f aca="false">F109</f>
        <v>223789959.86</v>
      </c>
    </row>
    <row r="117" customFormat="false" ht="15" hidden="false" customHeight="true" outlineLevel="0" collapsed="false">
      <c r="A117" s="18" t="s">
        <v>128</v>
      </c>
      <c r="B117" s="18"/>
      <c r="C117" s="18"/>
      <c r="D117" s="18"/>
      <c r="E117" s="18"/>
      <c r="F117" s="18"/>
    </row>
    <row r="118" customFormat="false" ht="15" hidden="false" customHeight="false" outlineLevel="0" collapsed="false">
      <c r="A118" s="18"/>
      <c r="B118" s="18"/>
      <c r="C118" s="18"/>
      <c r="D118" s="18"/>
      <c r="E118" s="18"/>
      <c r="F118" s="18"/>
    </row>
    <row r="119" customFormat="false" ht="15" hidden="false" customHeight="false" outlineLevel="0" collapsed="false">
      <c r="A119" s="18"/>
      <c r="B119" s="18"/>
      <c r="C119" s="18"/>
      <c r="D119" s="18"/>
      <c r="E119" s="18"/>
      <c r="F119" s="18"/>
    </row>
    <row r="120" customFormat="false" ht="15" hidden="false" customHeight="false" outlineLevel="0" collapsed="false">
      <c r="A120" s="18"/>
      <c r="B120" s="18"/>
      <c r="C120" s="18"/>
      <c r="D120" s="18"/>
      <c r="E120" s="18"/>
      <c r="F120" s="18"/>
    </row>
  </sheetData>
  <mergeCells count="6">
    <mergeCell ref="A1:F1"/>
    <mergeCell ref="A3:F3"/>
    <mergeCell ref="A4:F4"/>
    <mergeCell ref="A5:F5"/>
    <mergeCell ref="A12:F12"/>
    <mergeCell ref="A117:F1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9" t="s">
        <v>129</v>
      </c>
    </row>
    <row r="3" customFormat="false" ht="15" hidden="false" customHeight="false" outlineLevel="0" collapsed="false">
      <c r="A3" s="20" t="s">
        <v>130</v>
      </c>
    </row>
    <row r="4" customFormat="false" ht="15" hidden="false" customHeight="false" outlineLevel="0" collapsed="false">
      <c r="A4" s="20" t="s">
        <v>131</v>
      </c>
    </row>
    <row r="5" customFormat="false" ht="15" hidden="false" customHeight="false" outlineLevel="0" collapsed="false">
      <c r="A5" s="20"/>
    </row>
    <row r="6" customFormat="false" ht="15" hidden="false" customHeight="false" outlineLevel="0" collapsed="false">
      <c r="A6" s="20" t="s">
        <v>132</v>
      </c>
    </row>
    <row r="7" customFormat="false" ht="15" hidden="false" customHeight="false" outlineLevel="0" collapsed="false">
      <c r="A7" s="20" t="s">
        <v>133</v>
      </c>
    </row>
    <row r="8" customFormat="false" ht="15" hidden="false" customHeight="false" outlineLevel="0" collapsed="false">
      <c r="A8" s="20" t="s">
        <v>134</v>
      </c>
    </row>
    <row r="9" customFormat="false" ht="15" hidden="false" customHeight="false" outlineLevel="0" collapsed="false">
      <c r="A9" s="20" t="s">
        <v>135</v>
      </c>
    </row>
    <row r="10" customFormat="false" ht="15" hidden="false" customHeight="false" outlineLevel="0" collapsed="false">
      <c r="A10" s="20" t="s">
        <v>136</v>
      </c>
    </row>
    <row r="11" customFormat="false" ht="15" hidden="false" customHeight="false" outlineLevel="0" collapsed="false">
      <c r="A11" s="20"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2026-07-15T08:29:25Z</dcterms:created>
  <dc:creator>openpyxl</dc:creator>
  <dc:description/>
  <dc:language>en-US</dc:language>
  <cp:lastModifiedBy/>
  <dcterms:modified xsi:type="dcterms:W3CDTF">2026-07-15T08:29:25Z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