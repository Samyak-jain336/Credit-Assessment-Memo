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<sst xmlns="http://schemas.openxmlformats.org/spreadsheetml/2006/main" count="390" uniqueCount="203">
  <si>
    <t xml:space="preserve">AXIS BANK LTD</t>
  </si>
  <si>
    <t xml:space="preserve">Statement of Account</t>
  </si>
  <si>
    <t xml:space="preserve">Name</t>
  </si>
  <si>
    <t xml:space="preserve">SRI RAMAKRISHNA MILLS (COIMBATORE) LIMITED</t>
  </si>
  <si>
    <t xml:space="preserve">Joint Holder</t>
  </si>
  <si>
    <t xml:space="preserve">Address</t>
  </si>
  <si>
    <t xml:space="preserve">1493, SATHYAMANGALAM ROAD, GANAPATHY POST, COIMBATORE - 641006, TAMIL NADU, INDIA</t>
  </si>
  <si>
    <t xml:space="preserve">Account No</t>
  </si>
  <si>
    <t xml:space="preserve">922030012345678</t>
  </si>
  <si>
    <t xml:space="preserve">Account Type</t>
  </si>
  <si>
    <t xml:space="preserve">CC HYPOTHECATION (Cash Credit)</t>
  </si>
  <si>
    <t xml:space="preserve">Customer ID</t>
  </si>
  <si>
    <t xml:space="preserve">861234567</t>
  </si>
  <si>
    <t xml:space="preserve">IFSC Code</t>
  </si>
  <si>
    <t xml:space="preserve">UTIB0000123</t>
  </si>
  <si>
    <t xml:space="preserve">MICR Code</t>
  </si>
  <si>
    <t xml:space="preserve">641211002</t>
  </si>
  <si>
    <t xml:space="preserve">Branch</t>
  </si>
  <si>
    <t xml:space="preserve">COIMBATORE - AVINASHI ROAD</t>
  </si>
  <si>
    <t xml:space="preserve">Currency</t>
  </si>
  <si>
    <t xml:space="preserve">INR</t>
  </si>
  <si>
    <t xml:space="preserve">Statement Period</t>
  </si>
  <si>
    <t xml:space="preserve">01-04-2025 to 30-06-2025</t>
  </si>
  <si>
    <t xml:space="preserve">Sanctioned Limit</t>
  </si>
  <si>
    <t xml:space="preserve">9,50,00,000.00</t>
  </si>
  <si>
    <t xml:space="preserve">Drawing Power</t>
  </si>
  <si>
    <t xml:space="preserve">Tran Date</t>
  </si>
  <si>
    <t xml:space="preserve">Chq No</t>
  </si>
  <si>
    <t xml:space="preserve">Particulars</t>
  </si>
  <si>
    <t xml:space="preserve">Debit</t>
  </si>
  <si>
    <t xml:space="preserve">Credit</t>
  </si>
  <si>
    <t xml:space="preserve">Balance</t>
  </si>
  <si>
    <t xml:space="preserve">Init. Br</t>
  </si>
  <si>
    <t xml:space="preserve">01-04-2025</t>
  </si>
  <si>
    <t xml:space="preserve">OPENING BALANCE</t>
  </si>
  <si>
    <t xml:space="preserve">BULK POSTING/SALARY/EMP WAGES APR 2025</t>
  </si>
  <si>
    <t xml:space="preserve">123</t>
  </si>
  <si>
    <t xml:space="preserve">NEFT/AXISN26048021673/TNEB TANGEDCO/POWER CHARGES</t>
  </si>
  <si>
    <t xml:space="preserve">100882</t>
  </si>
  <si>
    <t xml:space="preserve">CHQ PAID/MICR CLG/PACKING MATERIALS</t>
  </si>
  <si>
    <t xml:space="preserve">RTGS/AXISN83128415155/LOYAL TEXTILE MILLS/YARN SALE PROCEEDS</t>
  </si>
  <si>
    <t xml:space="preserve">02-04-2025</t>
  </si>
  <si>
    <t xml:space="preserve">NEFT/AXISN71076327392/RAMAKRISHNA YARN CARRIERS/FREIGHT CHARGES</t>
  </si>
  <si>
    <t xml:space="preserve">03-04-2025</t>
  </si>
  <si>
    <t xml:space="preserve">NEFT/AXISN34935803837/GSTN REFUND/CBIC</t>
  </si>
  <si>
    <t xml:space="preserve">GST PMT/AXISN56228855278/CBIC GST PAYMENT</t>
  </si>
  <si>
    <t xml:space="preserve">05-04-2025</t>
  </si>
  <si>
    <t xml:space="preserve">ACH-DR/AXIS TERM LOAN EMI/922060011223344</t>
  </si>
  <si>
    <t xml:space="preserve">07-04-2025</t>
  </si>
  <si>
    <t xml:space="preserve">NEFT/AXISN84987658854/GSTN REFUND/CBIC</t>
  </si>
  <si>
    <t xml:space="preserve">IMPS/AXISN94304365998/SRI JAGANATHA GINNING/LEASE RENT</t>
  </si>
  <si>
    <t xml:space="preserve">08-04-2025</t>
  </si>
  <si>
    <t xml:space="preserve">NEFT/AXISN42904875417/RAMAKRISHNA YARN CARRIERS/FREIGHT CHARGES</t>
  </si>
  <si>
    <t xml:space="preserve">09-04-2025</t>
  </si>
  <si>
    <t xml:space="preserve">BANK CHARGES/PROCESSING &amp; FOLIO CHARGES</t>
  </si>
  <si>
    <t xml:space="preserve">10-04-2025</t>
  </si>
  <si>
    <t xml:space="preserve">11-04-2025</t>
  </si>
  <si>
    <t xml:space="preserve">NEFT/AXISN21373225387/RAMAKRISHNA YARN CARRIERS/FREIGHT CHARGES</t>
  </si>
  <si>
    <t xml:space="preserve">12-04-2025</t>
  </si>
  <si>
    <t xml:space="preserve">100617</t>
  </si>
  <si>
    <t xml:space="preserve">TRF FROM 922030098765432/INTERNAL TRANSFER</t>
  </si>
  <si>
    <t xml:space="preserve">15-04-2025</t>
  </si>
  <si>
    <t xml:space="preserve">EPFO ECR PAYMENT/APR 2025</t>
  </si>
  <si>
    <t xml:space="preserve">RTGS/AXISN37121334999/DORAL REAL ESTATES P LTD/VILLA SALE ADVANCE</t>
  </si>
  <si>
    <t xml:space="preserve">16-04-2025</t>
  </si>
  <si>
    <t xml:space="preserve">NEFT/AXISN28317520862/RAMAKRISHNA YARN CARRIERS/FREIGHT CHARGES</t>
  </si>
  <si>
    <t xml:space="preserve">RTGS/AXISN90517811206/DORAL REAL ESTATES P LTD/VILLA SALE ADVANCE</t>
  </si>
  <si>
    <t xml:space="preserve">100674</t>
  </si>
  <si>
    <t xml:space="preserve">17-04-2025</t>
  </si>
  <si>
    <t xml:space="preserve">NEFT/AXISN96555794399/SWATHY PROCESSORS LTD/YARN CONVERSION</t>
  </si>
  <si>
    <t xml:space="preserve">18-04-2025</t>
  </si>
  <si>
    <t xml:space="preserve">NEFT/AXISN87185193913/SPINWELL MACHINERY/SPARES PURCHASE</t>
  </si>
  <si>
    <t xml:space="preserve">RTGS/AXISN86814581501/CCI COTTON CORPORATION/RAW COTTON PURCHASE</t>
  </si>
  <si>
    <t xml:space="preserve">19-04-2025</t>
  </si>
  <si>
    <t xml:space="preserve">GST PMT/AXISN33342139034/CBIC GST PAYMENT</t>
  </si>
  <si>
    <t xml:space="preserve">21-04-2025</t>
  </si>
  <si>
    <t xml:space="preserve">22-04-2025</t>
  </si>
  <si>
    <t xml:space="preserve">NEFT/AXISN83708291861/TNEB TANGEDCO/POWER CHARGES</t>
  </si>
  <si>
    <t xml:space="preserve">100781</t>
  </si>
  <si>
    <t xml:space="preserve">24-04-2025</t>
  </si>
  <si>
    <t xml:space="preserve">25-04-2025</t>
  </si>
  <si>
    <t xml:space="preserve">RTGS/AXISN86281205445/CCI COTTON CORPORATION/RAW COTTON PURCHASE</t>
  </si>
  <si>
    <t xml:space="preserve">26-04-2025</t>
  </si>
  <si>
    <t xml:space="preserve">IMPS/AXISN45068953259/SRI JAGANATHA GINNING/LEASE RENT</t>
  </si>
  <si>
    <t xml:space="preserve">28-04-2025</t>
  </si>
  <si>
    <t xml:space="preserve">NEFT/AXISN87004097118/SPINWELL MACHINERY/SPARES PURCHASE</t>
  </si>
  <si>
    <t xml:space="preserve">NEFT/AXISN62878418842/RAMAKRISHNA YARN CARRIERS/FREIGHT CHARGES</t>
  </si>
  <si>
    <t xml:space="preserve">29-04-2025</t>
  </si>
  <si>
    <t xml:space="preserve">NEFT/AXISN24824020111/SPINWELL MACHINERY/SPARES PURCHASE</t>
  </si>
  <si>
    <t xml:space="preserve">NEFT/AXISN85541210722/SWATHY PROCESSORS LTD/YARN CONVERSION</t>
  </si>
  <si>
    <t xml:space="preserve">RTGS/AXISN98939499630/LOYAL TEXTILE MILLS/YARN SALE PROCEEDS</t>
  </si>
  <si>
    <t xml:space="preserve">30-04-2025</t>
  </si>
  <si>
    <t xml:space="preserve">INT.COLLECTED/CC INTEREST/APR-2025</t>
  </si>
  <si>
    <t xml:space="preserve">01-05-2025</t>
  </si>
  <si>
    <t xml:space="preserve">BULK POSTING/SALARY/EMP WAGES MAY 2025</t>
  </si>
  <si>
    <t xml:space="preserve">03-05-2025</t>
  </si>
  <si>
    <t xml:space="preserve">100698</t>
  </si>
  <si>
    <t xml:space="preserve">05-05-2025</t>
  </si>
  <si>
    <t xml:space="preserve">NEFT/AXISN67356271327/SWATHY PROCESSORS LTD/YARN CONVERSION</t>
  </si>
  <si>
    <t xml:space="preserve">NEFT/AXISN98791424611/GSTN REFUND/CBIC</t>
  </si>
  <si>
    <t xml:space="preserve">06-05-2025</t>
  </si>
  <si>
    <t xml:space="preserve">IMPS/AXISN40534077991/SRI JAGANATHA GINNING/LEASE RENT</t>
  </si>
  <si>
    <t xml:space="preserve">RTGS/AXISN33286804321/DORAL REAL ESTATES P LTD/VILLA SALE ADVANCE</t>
  </si>
  <si>
    <t xml:space="preserve">RTGS/AXISN70453317778/LOYAL TEXTILE MILLS/YARN SALE PROCEEDS</t>
  </si>
  <si>
    <t xml:space="preserve">07-05-2025</t>
  </si>
  <si>
    <t xml:space="preserve">08-05-2025</t>
  </si>
  <si>
    <t xml:space="preserve">IMPS/AXISN50608951738/SRI JAGANATHA GINNING/LEASE RENT</t>
  </si>
  <si>
    <t xml:space="preserve">09-05-2025</t>
  </si>
  <si>
    <t xml:space="preserve">NEFT/AXISN77510049482/RAMAKRISHNA YARN CARRIERS/FREIGHT CHARGES</t>
  </si>
  <si>
    <t xml:space="preserve">NEFT/AXISN87560595158/PREMIER MILLS PVT LTD/SALE OF YARN</t>
  </si>
  <si>
    <t xml:space="preserve">10-05-2025</t>
  </si>
  <si>
    <t xml:space="preserve">NEFT/AXISN87524771010/RAMAKRISHNA YARN CARRIERS/FREIGHT CHARGES</t>
  </si>
  <si>
    <t xml:space="preserve">RTGS/AXISN62549800598/CCI COTTON CORPORATION/RAW COTTON PURCHASE</t>
  </si>
  <si>
    <t xml:space="preserve">13-05-2025</t>
  </si>
  <si>
    <t xml:space="preserve">RTGS/AXISN66186690900/DORAL REAL ESTATES P LTD/VILLA SALE ADVANCE</t>
  </si>
  <si>
    <t xml:space="preserve">100717</t>
  </si>
  <si>
    <t xml:space="preserve">14-05-2025</t>
  </si>
  <si>
    <t xml:space="preserve">RTGS/AXISN71418019778/LOYAL TEXTILE MILLS/YARN SALE PROCEEDS</t>
  </si>
  <si>
    <t xml:space="preserve">15-05-2025</t>
  </si>
  <si>
    <t xml:space="preserve">EPFO ECR PAYMENT/MAY 2025</t>
  </si>
  <si>
    <t xml:space="preserve">RTGS/AXISN91597740482/CCI COTTON CORPORATION/RAW COTTON PURCHASE</t>
  </si>
  <si>
    <t xml:space="preserve">19-05-2025</t>
  </si>
  <si>
    <t xml:space="preserve">NEFT/AXISN58293833828/PREMIER MILLS PVT LTD/SALE OF YARN</t>
  </si>
  <si>
    <t xml:space="preserve">IMPS/AXISN51676386627/SRI JAGANATHA GINNING/LEASE RENT</t>
  </si>
  <si>
    <t xml:space="preserve">20-05-2025</t>
  </si>
  <si>
    <t xml:space="preserve">21-05-2025</t>
  </si>
  <si>
    <t xml:space="preserve">NEFT/AXISN45027382058/SWATHY PROCESSORS LTD/YARN CONVERSION</t>
  </si>
  <si>
    <t xml:space="preserve">22-05-2025</t>
  </si>
  <si>
    <t xml:space="preserve">NEFT/AXISN98852123602/RAMAKRISHNA YARN CARRIERS/FREIGHT CHARGES</t>
  </si>
  <si>
    <t xml:space="preserve">23-05-2025</t>
  </si>
  <si>
    <t xml:space="preserve">GST PMT/AXISN17928955072/CBIC GST PAYMENT</t>
  </si>
  <si>
    <t xml:space="preserve">26-05-2025</t>
  </si>
  <si>
    <t xml:space="preserve">GST PMT/AXISN96461212064/CBIC GST PAYMENT</t>
  </si>
  <si>
    <t xml:space="preserve">NEFT/AXISN84851345353/TNEB TANGEDCO/POWER CHARGES</t>
  </si>
  <si>
    <t xml:space="preserve">NEFT/AXISN83654627323/SWATHY PROCESSORS LTD/YARN CONVERSION</t>
  </si>
  <si>
    <t xml:space="preserve">28-05-2025</t>
  </si>
  <si>
    <t xml:space="preserve">NEFT/AXISN48834359262/TNEB TANGEDCO/POWER CHARGES</t>
  </si>
  <si>
    <t xml:space="preserve">29-05-2025</t>
  </si>
  <si>
    <t xml:space="preserve">30-05-2025</t>
  </si>
  <si>
    <t xml:space="preserve">INT.COLLECTED/CC INTEREST/MAY-2025</t>
  </si>
  <si>
    <t xml:space="preserve">NEFT/AXISN69591437379/GSTN REFUND/CBIC</t>
  </si>
  <si>
    <t xml:space="preserve">NEFT/AXISN44058579637/RAMAKRISHNA YARN CARRIERS/FREIGHT CHARGES</t>
  </si>
  <si>
    <t xml:space="preserve">02-06-2025</t>
  </si>
  <si>
    <t xml:space="preserve">GST PMT/AXISN45425608546/CBIC GST PAYMENT</t>
  </si>
  <si>
    <t xml:space="preserve">03-06-2025</t>
  </si>
  <si>
    <t xml:space="preserve">RTGS/AXISN42086369317/CCI COTTON CORPORATION/RAW COTTON PURCHASE</t>
  </si>
  <si>
    <t xml:space="preserve">04-06-2025</t>
  </si>
  <si>
    <t xml:space="preserve">NEFT/AXISN43807075019/SPINWELL MACHINERY/SPARES PURCHASE</t>
  </si>
  <si>
    <t xml:space="preserve">05-06-2025</t>
  </si>
  <si>
    <t xml:space="preserve">RTGS/AXISN47681150998/LOYAL TEXTILE MILLS/YARN SALE PROCEEDS</t>
  </si>
  <si>
    <t xml:space="preserve">06-06-2025</t>
  </si>
  <si>
    <t xml:space="preserve">NEFT/AXISN86637941133/SPINWELL MACHINERY/SPARES PURCHASE</t>
  </si>
  <si>
    <t xml:space="preserve">07-06-2025</t>
  </si>
  <si>
    <t xml:space="preserve">RTGS/AXISN32596747212/CCI COTTON CORPORATION/RAW COTTON PURCHASE</t>
  </si>
  <si>
    <t xml:space="preserve">09-06-2025</t>
  </si>
  <si>
    <t xml:space="preserve">GST PMT/AXISN68396828876/CBIC GST PAYMENT</t>
  </si>
  <si>
    <t xml:space="preserve">NEFT/AXISN25081447213/GSTN REFUND/CBIC</t>
  </si>
  <si>
    <t xml:space="preserve">10-06-2025</t>
  </si>
  <si>
    <t xml:space="preserve">NEFT/AXISN68878784464/TNEB TANGEDCO/POWER CHARGES</t>
  </si>
  <si>
    <t xml:space="preserve">NEFT/AXISN38650131267/GSTN REFUND/CBIC</t>
  </si>
  <si>
    <t xml:space="preserve">11-06-2025</t>
  </si>
  <si>
    <t xml:space="preserve">NEFT/AXISN55626105063/RAMAKRISHNA YARN CARRIERS/FREIGHT CHARGES</t>
  </si>
  <si>
    <t xml:space="preserve">12-06-2025</t>
  </si>
  <si>
    <t xml:space="preserve">NEFT/AXISN50832780254/RAMAKRISHNA YARN CARRIERS/FREIGHT CHARGES</t>
  </si>
  <si>
    <t xml:space="preserve">GST PMT/AXISN84284273440/CBIC GST PAYMENT</t>
  </si>
  <si>
    <t xml:space="preserve">IMPS/AXISN92351820356/SRI JAGANATHA GINNING/LEASE RENT</t>
  </si>
  <si>
    <t xml:space="preserve">13-06-2025</t>
  </si>
  <si>
    <t xml:space="preserve">RTGS/AXISN49959838647/DORAL REAL ESTATES P LTD/VILLA SALE ADVANCE</t>
  </si>
  <si>
    <t xml:space="preserve">NEFT/AXISN55761612202/GSTN REFUND/CBIC</t>
  </si>
  <si>
    <t xml:space="preserve">14-06-2025</t>
  </si>
  <si>
    <t xml:space="preserve">NEFT/AXISN49018899720/RAMAKRISHNA YARN CARRIERS/FREIGHT CHARGES</t>
  </si>
  <si>
    <t xml:space="preserve">NEFT/AXISN41398012517/RAMAKRISHNA YARN CARRIERS/FREIGHT CHARGES</t>
  </si>
  <si>
    <t xml:space="preserve">16-06-2025</t>
  </si>
  <si>
    <t xml:space="preserve">NEFT/AXISN93645073667/SWATHY PROCESSORS LTD/YARN CONVERSION</t>
  </si>
  <si>
    <t xml:space="preserve">18-06-2025</t>
  </si>
  <si>
    <t xml:space="preserve">RTGS/AXISN41890760083/LOYAL TEXTILE MILLS/YARN SALE PROCEEDS</t>
  </si>
  <si>
    <t xml:space="preserve">19-06-2025</t>
  </si>
  <si>
    <t xml:space="preserve">NEFT/AXISN83230130340/RAMAKRISHNA YARN CARRIERS/FREIGHT CHARGES</t>
  </si>
  <si>
    <t xml:space="preserve">20-06-2025</t>
  </si>
  <si>
    <t xml:space="preserve">RTGS/AXISN73571600239/CCI COTTON CORPORATION/RAW COTTON PURCHASE</t>
  </si>
  <si>
    <t xml:space="preserve">21-06-2025</t>
  </si>
  <si>
    <t xml:space="preserve">100903</t>
  </si>
  <si>
    <t xml:space="preserve">100612</t>
  </si>
  <si>
    <t xml:space="preserve">RTGS/AXISN82059564729/LOYAL TEXTILE MILLS/YARN SALE PROCEEDS</t>
  </si>
  <si>
    <t xml:space="preserve">23-06-2025</t>
  </si>
  <si>
    <t xml:space="preserve">GST PMT/AXISN51719357531/CBIC GST PAYMENT</t>
  </si>
  <si>
    <t xml:space="preserve">NEFT/AXISN20909870727/PREMIER MILLS PVT LTD/SALE OF YARN</t>
  </si>
  <si>
    <t xml:space="preserve">24-06-2025</t>
  </si>
  <si>
    <t xml:space="preserve">IMPS/AXISN38803850894/SRI JAGANATHA GINNING/LEASE RENT</t>
  </si>
  <si>
    <t xml:space="preserve">26-06-2025</t>
  </si>
  <si>
    <t xml:space="preserve">RTGS/AXISN36037232988/DORAL REAL ESTATES P LTD/VILLA SALE ADVANCE</t>
  </si>
  <si>
    <t xml:space="preserve">NEFT/AXISN12987248494/SPINWELL MACHINERY/SPARES PURCHASE</t>
  </si>
  <si>
    <t xml:space="preserve">27-06-2025</t>
  </si>
  <si>
    <t xml:space="preserve">NEFT/AXISN69424002163/SWATHY PROCESSORS LTD/YARN CONVERSION</t>
  </si>
  <si>
    <t xml:space="preserve">NEFT/AXISN75371715916/RAMAKRISHNA YARN CARRIERS/FREIGHT CHARGES</t>
  </si>
  <si>
    <t xml:space="preserve">28-06-2025</t>
  </si>
  <si>
    <t xml:space="preserve">IMPS/AXISN85687017337/SRI JAGANATHA GINNING/LEASE RENT</t>
  </si>
  <si>
    <t xml:space="preserve">30-06-2025</t>
  </si>
  <si>
    <t xml:space="preserve">INT.COLLECTED/CC INTEREST/JUN-2025</t>
  </si>
  <si>
    <t xml:space="preserve">TRANSACTION TOTAL</t>
  </si>
  <si>
    <t xml:space="preserve">CLOSING BALANCE</t>
  </si>
  <si>
    <t xml:space="preserve">Unless the constituent notifies the bank immediately of any discrepancy found by him/her in this statement of account, it will be taken that he/she has found the account correct.</t>
  </si>
  <si>
    <t xml:space="preserve">This is a system generated statement and does not require signature. Registered Office: Trishul, 3rd Floor, Opp. Samartheshwar Temple, Law Garden, Ellisbridge, Ahmedabad - 380006.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</si>
</sst>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7144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714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/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4" customFormat="false" ht="15" hidden="false" customHeight="false" outlineLevel="0" collapsed="false">
      <c r="A14" s="3" t="s">
        <v>21</v>
      </c>
      <c r="B14" s="4" t="s">
        <v>22</v>
      </c>
    </row>
    <row r="15" customFormat="false" ht="15" hidden="false" customHeight="false" outlineLevel="0" collapsed="false">
      <c r="A15" s="3" t="s">
        <v>23</v>
      </c>
      <c r="B15" s="4" t="s">
        <v>24</v>
      </c>
    </row>
    <row r="16" customFormat="false" ht="15" hidden="false" customHeight="false" outlineLevel="0" collapsed="false">
      <c r="A16" s="3" t="s">
        <v>25</v>
      </c>
      <c r="B16" s="4" t="s">
        <v>24</v>
      </c>
    </row>
    <row r="18" customFormat="false" ht="15" hidden="false" customHeight="false" outlineLevel="0" collapsed="false">
      <c r="A18" s="5" t="s">
        <v>26</v>
      </c>
      <c r="B18" s="5" t="s">
        <v>27</v>
      </c>
      <c r="C18" s="5" t="s">
        <v>28</v>
      </c>
      <c r="D18" s="5" t="s">
        <v>29</v>
      </c>
      <c r="E18" s="5" t="s">
        <v>30</v>
      </c>
      <c r="F18" s="5" t="s">
        <v>31</v>
      </c>
      <c r="G18" s="5" t="s">
        <v>32</v>
      </c>
    </row>
    <row r="19" customFormat="false" ht="15" hidden="false" customHeight="false" outlineLevel="0" collapsed="false">
      <c r="A19" s="6" t="s">
        <v>33</v>
      </c>
      <c r="B19" s="7"/>
      <c r="C19" s="8" t="s">
        <v>34</v>
      </c>
      <c r="D19" s="7"/>
      <c r="E19" s="7"/>
      <c r="F19" s="9" t="n">
        <v>-42371506.25</v>
      </c>
      <c r="G19" s="7"/>
    </row>
    <row r="20" customFormat="false" ht="15" hidden="false" customHeight="false" outlineLevel="0" collapsed="false">
      <c r="A20" s="10" t="s">
        <v>33</v>
      </c>
      <c r="B20" s="10"/>
      <c r="C20" s="10" t="s">
        <v>35</v>
      </c>
      <c r="D20" s="11" t="n">
        <v>2922464.17</v>
      </c>
      <c r="E20" s="12"/>
      <c r="F20" s="13" t="n">
        <f aca="false">F19-IF(D20="",0,D20)+IF(E20="",0,E20)</f>
        <v>-45293970.42</v>
      </c>
      <c r="G20" s="10" t="s">
        <v>36</v>
      </c>
    </row>
    <row r="21" customFormat="false" ht="15" hidden="false" customHeight="false" outlineLevel="0" collapsed="false">
      <c r="A21" s="10" t="s">
        <v>33</v>
      </c>
      <c r="B21" s="10"/>
      <c r="C21" s="10" t="s">
        <v>37</v>
      </c>
      <c r="D21" s="11" t="n">
        <v>550444.83</v>
      </c>
      <c r="E21" s="12"/>
      <c r="F21" s="13" t="n">
        <f aca="false">F20-IF(D21="",0,D21)+IF(E21="",0,E21)</f>
        <v>-45844415.25</v>
      </c>
      <c r="G21" s="10" t="s">
        <v>36</v>
      </c>
    </row>
    <row r="22" customFormat="false" ht="15" hidden="false" customHeight="false" outlineLevel="0" collapsed="false">
      <c r="A22" s="10" t="s">
        <v>33</v>
      </c>
      <c r="B22" s="10" t="s">
        <v>38</v>
      </c>
      <c r="C22" s="10" t="s">
        <v>39</v>
      </c>
      <c r="D22" s="11" t="n">
        <v>112604.1</v>
      </c>
      <c r="E22" s="12"/>
      <c r="F22" s="13" t="n">
        <f aca="false">F21-IF(D22="",0,D22)+IF(E22="",0,E22)</f>
        <v>-45957019.35</v>
      </c>
      <c r="G22" s="10" t="s">
        <v>36</v>
      </c>
    </row>
    <row r="23" customFormat="false" ht="15" hidden="false" customHeight="false" outlineLevel="0" collapsed="false">
      <c r="A23" s="10" t="s">
        <v>33</v>
      </c>
      <c r="B23" s="10"/>
      <c r="C23" s="10" t="s">
        <v>40</v>
      </c>
      <c r="D23" s="12"/>
      <c r="E23" s="11" t="n">
        <v>2669814.57</v>
      </c>
      <c r="F23" s="13" t="n">
        <f aca="false">F22-IF(D23="",0,D23)+IF(E23="",0,E23)</f>
        <v>-43287204.78</v>
      </c>
      <c r="G23" s="10" t="s">
        <v>36</v>
      </c>
    </row>
    <row r="24" customFormat="false" ht="15" hidden="false" customHeight="false" outlineLevel="0" collapsed="false">
      <c r="A24" s="10" t="s">
        <v>41</v>
      </c>
      <c r="B24" s="10"/>
      <c r="C24" s="10" t="s">
        <v>42</v>
      </c>
      <c r="D24" s="11" t="n">
        <v>118567.1</v>
      </c>
      <c r="E24" s="12"/>
      <c r="F24" s="13" t="n">
        <f aca="false">F23-IF(D24="",0,D24)+IF(E24="",0,E24)</f>
        <v>-43405771.88</v>
      </c>
      <c r="G24" s="10" t="s">
        <v>36</v>
      </c>
    </row>
    <row r="25" customFormat="false" ht="15" hidden="false" customHeight="false" outlineLevel="0" collapsed="false">
      <c r="A25" s="10" t="s">
        <v>43</v>
      </c>
      <c r="B25" s="10"/>
      <c r="C25" s="10" t="s">
        <v>44</v>
      </c>
      <c r="D25" s="12"/>
      <c r="E25" s="11" t="n">
        <v>82079.6</v>
      </c>
      <c r="F25" s="13" t="n">
        <f aca="false">F24-IF(D25="",0,D25)+IF(E25="",0,E25)</f>
        <v>-43323692.28</v>
      </c>
      <c r="G25" s="10" t="s">
        <v>36</v>
      </c>
    </row>
    <row r="26" customFormat="false" ht="15" hidden="false" customHeight="false" outlineLevel="0" collapsed="false">
      <c r="A26" s="10" t="s">
        <v>43</v>
      </c>
      <c r="B26" s="10"/>
      <c r="C26" s="10" t="s">
        <v>45</v>
      </c>
      <c r="D26" s="11" t="n">
        <v>550084.21</v>
      </c>
      <c r="E26" s="12"/>
      <c r="F26" s="13" t="n">
        <f aca="false">F25-IF(D26="",0,D26)+IF(E26="",0,E26)</f>
        <v>-43873776.49</v>
      </c>
      <c r="G26" s="10" t="s">
        <v>36</v>
      </c>
    </row>
    <row r="27" customFormat="false" ht="15" hidden="false" customHeight="false" outlineLevel="0" collapsed="false">
      <c r="A27" s="10" t="s">
        <v>46</v>
      </c>
      <c r="B27" s="10"/>
      <c r="C27" s="10" t="s">
        <v>47</v>
      </c>
      <c r="D27" s="11" t="n">
        <v>1420000</v>
      </c>
      <c r="E27" s="12"/>
      <c r="F27" s="13" t="n">
        <f aca="false">F26-IF(D27="",0,D27)+IF(E27="",0,E27)</f>
        <v>-45293776.49</v>
      </c>
      <c r="G27" s="10" t="s">
        <v>36</v>
      </c>
    </row>
    <row r="28" customFormat="false" ht="15" hidden="false" customHeight="false" outlineLevel="0" collapsed="false">
      <c r="A28" s="10" t="s">
        <v>48</v>
      </c>
      <c r="B28" s="10"/>
      <c r="C28" s="10" t="s">
        <v>49</v>
      </c>
      <c r="D28" s="12"/>
      <c r="E28" s="11" t="n">
        <v>190065.83</v>
      </c>
      <c r="F28" s="13" t="n">
        <f aca="false">F27-IF(D28="",0,D28)+IF(E28="",0,E28)</f>
        <v>-45103710.66</v>
      </c>
      <c r="G28" s="10" t="s">
        <v>36</v>
      </c>
    </row>
    <row r="29" customFormat="false" ht="15" hidden="false" customHeight="false" outlineLevel="0" collapsed="false">
      <c r="A29" s="10" t="s">
        <v>48</v>
      </c>
      <c r="B29" s="10"/>
      <c r="C29" s="10" t="s">
        <v>50</v>
      </c>
      <c r="D29" s="12"/>
      <c r="E29" s="11" t="n">
        <v>155516.01</v>
      </c>
      <c r="F29" s="13" t="n">
        <f aca="false">F28-IF(D29="",0,D29)+IF(E29="",0,E29)</f>
        <v>-44948194.65</v>
      </c>
      <c r="G29" s="10" t="s">
        <v>36</v>
      </c>
    </row>
    <row r="30" customFormat="false" ht="15" hidden="false" customHeight="false" outlineLevel="0" collapsed="false">
      <c r="A30" s="10" t="s">
        <v>51</v>
      </c>
      <c r="B30" s="10"/>
      <c r="C30" s="10" t="s">
        <v>52</v>
      </c>
      <c r="D30" s="11" t="n">
        <v>54389.95</v>
      </c>
      <c r="E30" s="12"/>
      <c r="F30" s="13" t="n">
        <f aca="false">F29-IF(D30="",0,D30)+IF(E30="",0,E30)</f>
        <v>-45002584.6</v>
      </c>
      <c r="G30" s="10" t="s">
        <v>36</v>
      </c>
    </row>
    <row r="31" customFormat="false" ht="15" hidden="false" customHeight="false" outlineLevel="0" collapsed="false">
      <c r="A31" s="10" t="s">
        <v>53</v>
      </c>
      <c r="B31" s="10"/>
      <c r="C31" s="10" t="s">
        <v>54</v>
      </c>
      <c r="D31" s="11" t="n">
        <v>6108.26</v>
      </c>
      <c r="E31" s="12"/>
      <c r="F31" s="13" t="n">
        <f aca="false">F30-IF(D31="",0,D31)+IF(E31="",0,E31)</f>
        <v>-45008692.86</v>
      </c>
      <c r="G31" s="10" t="s">
        <v>36</v>
      </c>
    </row>
    <row r="32" customFormat="false" ht="15" hidden="false" customHeight="false" outlineLevel="0" collapsed="false">
      <c r="A32" s="10" t="s">
        <v>55</v>
      </c>
      <c r="B32" s="10"/>
      <c r="C32" s="10" t="s">
        <v>54</v>
      </c>
      <c r="D32" s="11" t="n">
        <v>8154.9</v>
      </c>
      <c r="E32" s="12"/>
      <c r="F32" s="13" t="n">
        <f aca="false">F31-IF(D32="",0,D32)+IF(E32="",0,E32)</f>
        <v>-45016847.76</v>
      </c>
      <c r="G32" s="10" t="s">
        <v>36</v>
      </c>
    </row>
    <row r="33" customFormat="false" ht="15" hidden="false" customHeight="false" outlineLevel="0" collapsed="false">
      <c r="A33" s="10" t="s">
        <v>56</v>
      </c>
      <c r="B33" s="10"/>
      <c r="C33" s="10" t="s">
        <v>57</v>
      </c>
      <c r="D33" s="11" t="n">
        <v>171448.37</v>
      </c>
      <c r="E33" s="12"/>
      <c r="F33" s="13" t="n">
        <f aca="false">F32-IF(D33="",0,D33)+IF(E33="",0,E33)</f>
        <v>-45188296.13</v>
      </c>
      <c r="G33" s="10" t="s">
        <v>36</v>
      </c>
    </row>
    <row r="34" customFormat="false" ht="15" hidden="false" customHeight="false" outlineLevel="0" collapsed="false">
      <c r="A34" s="10" t="s">
        <v>58</v>
      </c>
      <c r="B34" s="10" t="s">
        <v>59</v>
      </c>
      <c r="C34" s="10" t="s">
        <v>39</v>
      </c>
      <c r="D34" s="11" t="n">
        <v>279572.97</v>
      </c>
      <c r="E34" s="12"/>
      <c r="F34" s="13" t="n">
        <f aca="false">F33-IF(D34="",0,D34)+IF(E34="",0,E34)</f>
        <v>-45467869.1</v>
      </c>
      <c r="G34" s="10" t="s">
        <v>36</v>
      </c>
    </row>
    <row r="35" customFormat="false" ht="15" hidden="false" customHeight="false" outlineLevel="0" collapsed="false">
      <c r="A35" s="10" t="s">
        <v>58</v>
      </c>
      <c r="B35" s="10"/>
      <c r="C35" s="10" t="s">
        <v>60</v>
      </c>
      <c r="D35" s="12"/>
      <c r="E35" s="11" t="n">
        <v>1532242.94</v>
      </c>
      <c r="F35" s="13" t="n">
        <f aca="false">F34-IF(D35="",0,D35)+IF(E35="",0,E35)</f>
        <v>-43935626.16</v>
      </c>
      <c r="G35" s="10" t="s">
        <v>36</v>
      </c>
    </row>
    <row r="36" customFormat="false" ht="15" hidden="false" customHeight="false" outlineLevel="0" collapsed="false">
      <c r="A36" s="10" t="s">
        <v>61</v>
      </c>
      <c r="B36" s="10"/>
      <c r="C36" s="10" t="s">
        <v>62</v>
      </c>
      <c r="D36" s="11" t="n">
        <v>268081.54</v>
      </c>
      <c r="E36" s="12"/>
      <c r="F36" s="13" t="n">
        <f aca="false">F35-IF(D36="",0,D36)+IF(E36="",0,E36)</f>
        <v>-44203707.7</v>
      </c>
      <c r="G36" s="10" t="s">
        <v>36</v>
      </c>
    </row>
    <row r="37" customFormat="false" ht="15" hidden="false" customHeight="false" outlineLevel="0" collapsed="false">
      <c r="A37" s="10" t="s">
        <v>61</v>
      </c>
      <c r="B37" s="10"/>
      <c r="C37" s="10" t="s">
        <v>63</v>
      </c>
      <c r="D37" s="12"/>
      <c r="E37" s="11" t="n">
        <v>5443654.32</v>
      </c>
      <c r="F37" s="13" t="n">
        <f aca="false">F36-IF(D37="",0,D37)+IF(E37="",0,E37)</f>
        <v>-38760053.38</v>
      </c>
      <c r="G37" s="10" t="s">
        <v>36</v>
      </c>
    </row>
    <row r="38" customFormat="false" ht="15" hidden="false" customHeight="false" outlineLevel="0" collapsed="false">
      <c r="A38" s="10" t="s">
        <v>64</v>
      </c>
      <c r="B38" s="10"/>
      <c r="C38" s="10" t="s">
        <v>65</v>
      </c>
      <c r="D38" s="11" t="n">
        <v>106945</v>
      </c>
      <c r="E38" s="12"/>
      <c r="F38" s="13" t="n">
        <f aca="false">F37-IF(D38="",0,D38)+IF(E38="",0,E38)</f>
        <v>-38866998.38</v>
      </c>
      <c r="G38" s="10" t="s">
        <v>36</v>
      </c>
    </row>
    <row r="39" customFormat="false" ht="15" hidden="false" customHeight="false" outlineLevel="0" collapsed="false">
      <c r="A39" s="10" t="s">
        <v>64</v>
      </c>
      <c r="B39" s="10"/>
      <c r="C39" s="10" t="s">
        <v>66</v>
      </c>
      <c r="D39" s="12"/>
      <c r="E39" s="11" t="n">
        <v>3925397.8</v>
      </c>
      <c r="F39" s="13" t="n">
        <f aca="false">F38-IF(D39="",0,D39)+IF(E39="",0,E39)</f>
        <v>-34941600.58</v>
      </c>
      <c r="G39" s="10" t="s">
        <v>36</v>
      </c>
    </row>
    <row r="40" customFormat="false" ht="15" hidden="false" customHeight="false" outlineLevel="0" collapsed="false">
      <c r="A40" s="10" t="s">
        <v>64</v>
      </c>
      <c r="B40" s="10" t="s">
        <v>67</v>
      </c>
      <c r="C40" s="10" t="s">
        <v>39</v>
      </c>
      <c r="D40" s="11" t="n">
        <v>193844.13</v>
      </c>
      <c r="E40" s="12"/>
      <c r="F40" s="13" t="n">
        <f aca="false">F39-IF(D40="",0,D40)+IF(E40="",0,E40)</f>
        <v>-35135444.71</v>
      </c>
      <c r="G40" s="10" t="s">
        <v>36</v>
      </c>
    </row>
    <row r="41" customFormat="false" ht="15" hidden="false" customHeight="false" outlineLevel="0" collapsed="false">
      <c r="A41" s="10" t="s">
        <v>68</v>
      </c>
      <c r="B41" s="10"/>
      <c r="C41" s="10" t="s">
        <v>69</v>
      </c>
      <c r="D41" s="12"/>
      <c r="E41" s="11" t="n">
        <v>2208316.11</v>
      </c>
      <c r="F41" s="13" t="n">
        <f aca="false">F40-IF(D41="",0,D41)+IF(E41="",0,E41)</f>
        <v>-32927128.6</v>
      </c>
      <c r="G41" s="10" t="s">
        <v>36</v>
      </c>
    </row>
    <row r="42" customFormat="false" ht="15" hidden="false" customHeight="false" outlineLevel="0" collapsed="false">
      <c r="A42" s="10" t="s">
        <v>68</v>
      </c>
      <c r="B42" s="10"/>
      <c r="C42" s="10" t="s">
        <v>60</v>
      </c>
      <c r="D42" s="12"/>
      <c r="E42" s="11" t="n">
        <v>1133239.95</v>
      </c>
      <c r="F42" s="13" t="n">
        <f aca="false">F41-IF(D42="",0,D42)+IF(E42="",0,E42)</f>
        <v>-31793888.65</v>
      </c>
      <c r="G42" s="10" t="s">
        <v>36</v>
      </c>
    </row>
    <row r="43" customFormat="false" ht="15" hidden="false" customHeight="false" outlineLevel="0" collapsed="false">
      <c r="A43" s="10" t="s">
        <v>70</v>
      </c>
      <c r="B43" s="10"/>
      <c r="C43" s="10" t="s">
        <v>71</v>
      </c>
      <c r="D43" s="11" t="n">
        <v>266354.59</v>
      </c>
      <c r="E43" s="12"/>
      <c r="F43" s="13" t="n">
        <f aca="false">F42-IF(D43="",0,D43)+IF(E43="",0,E43)</f>
        <v>-32060243.24</v>
      </c>
      <c r="G43" s="10" t="s">
        <v>36</v>
      </c>
    </row>
    <row r="44" customFormat="false" ht="15" hidden="false" customHeight="false" outlineLevel="0" collapsed="false">
      <c r="A44" s="10" t="s">
        <v>70</v>
      </c>
      <c r="B44" s="10"/>
      <c r="C44" s="10" t="s">
        <v>72</v>
      </c>
      <c r="D44" s="11" t="n">
        <v>4221133.64</v>
      </c>
      <c r="E44" s="12"/>
      <c r="F44" s="13" t="n">
        <f aca="false">F43-IF(D44="",0,D44)+IF(E44="",0,E44)</f>
        <v>-36281376.88</v>
      </c>
      <c r="G44" s="10" t="s">
        <v>36</v>
      </c>
    </row>
    <row r="45" customFormat="false" ht="15" hidden="false" customHeight="false" outlineLevel="0" collapsed="false">
      <c r="A45" s="10" t="s">
        <v>73</v>
      </c>
      <c r="B45" s="10"/>
      <c r="C45" s="10" t="s">
        <v>74</v>
      </c>
      <c r="D45" s="11" t="n">
        <v>400396.96</v>
      </c>
      <c r="E45" s="12"/>
      <c r="F45" s="13" t="n">
        <f aca="false">F44-IF(D45="",0,D45)+IF(E45="",0,E45)</f>
        <v>-36681773.84</v>
      </c>
      <c r="G45" s="10" t="s">
        <v>36</v>
      </c>
    </row>
    <row r="46" customFormat="false" ht="15" hidden="false" customHeight="false" outlineLevel="0" collapsed="false">
      <c r="A46" s="10" t="s">
        <v>75</v>
      </c>
      <c r="B46" s="10"/>
      <c r="C46" s="10" t="s">
        <v>60</v>
      </c>
      <c r="D46" s="12"/>
      <c r="E46" s="11" t="n">
        <v>1813779.41</v>
      </c>
      <c r="F46" s="13" t="n">
        <f aca="false">F45-IF(D46="",0,D46)+IF(E46="",0,E46)</f>
        <v>-34867994.43</v>
      </c>
      <c r="G46" s="10" t="s">
        <v>36</v>
      </c>
    </row>
    <row r="47" customFormat="false" ht="15" hidden="false" customHeight="false" outlineLevel="0" collapsed="false">
      <c r="A47" s="10" t="s">
        <v>75</v>
      </c>
      <c r="B47" s="10"/>
      <c r="C47" s="10" t="s">
        <v>54</v>
      </c>
      <c r="D47" s="11" t="n">
        <v>12192.15</v>
      </c>
      <c r="E47" s="12"/>
      <c r="F47" s="13" t="n">
        <f aca="false">F46-IF(D47="",0,D47)+IF(E47="",0,E47)</f>
        <v>-34880186.58</v>
      </c>
      <c r="G47" s="10" t="s">
        <v>36</v>
      </c>
    </row>
    <row r="48" customFormat="false" ht="15" hidden="false" customHeight="false" outlineLevel="0" collapsed="false">
      <c r="A48" s="10" t="s">
        <v>76</v>
      </c>
      <c r="B48" s="10"/>
      <c r="C48" s="10" t="s">
        <v>77</v>
      </c>
      <c r="D48" s="11" t="n">
        <v>618261.23</v>
      </c>
      <c r="E48" s="12"/>
      <c r="F48" s="13" t="n">
        <f aca="false">F47-IF(D48="",0,D48)+IF(E48="",0,E48)</f>
        <v>-35498447.81</v>
      </c>
      <c r="G48" s="10" t="s">
        <v>36</v>
      </c>
    </row>
    <row r="49" customFormat="false" ht="15" hidden="false" customHeight="false" outlineLevel="0" collapsed="false">
      <c r="A49" s="10" t="s">
        <v>76</v>
      </c>
      <c r="B49" s="10" t="s">
        <v>78</v>
      </c>
      <c r="C49" s="10" t="s">
        <v>39</v>
      </c>
      <c r="D49" s="11" t="n">
        <v>328808.31</v>
      </c>
      <c r="E49" s="12"/>
      <c r="F49" s="13" t="n">
        <f aca="false">F48-IF(D49="",0,D49)+IF(E49="",0,E49)</f>
        <v>-35827256.12</v>
      </c>
      <c r="G49" s="10" t="s">
        <v>36</v>
      </c>
    </row>
    <row r="50" customFormat="false" ht="15" hidden="false" customHeight="false" outlineLevel="0" collapsed="false">
      <c r="A50" s="10" t="s">
        <v>79</v>
      </c>
      <c r="B50" s="10"/>
      <c r="C50" s="10" t="s">
        <v>54</v>
      </c>
      <c r="D50" s="11" t="n">
        <v>15005.01</v>
      </c>
      <c r="E50" s="12"/>
      <c r="F50" s="13" t="n">
        <f aca="false">F49-IF(D50="",0,D50)+IF(E50="",0,E50)</f>
        <v>-35842261.13</v>
      </c>
      <c r="G50" s="10" t="s">
        <v>36</v>
      </c>
    </row>
    <row r="51" customFormat="false" ht="15" hidden="false" customHeight="false" outlineLevel="0" collapsed="false">
      <c r="A51" s="10" t="s">
        <v>80</v>
      </c>
      <c r="B51" s="10"/>
      <c r="C51" s="10" t="s">
        <v>81</v>
      </c>
      <c r="D51" s="11" t="n">
        <v>1842613.81</v>
      </c>
      <c r="E51" s="12"/>
      <c r="F51" s="13" t="n">
        <f aca="false">F50-IF(D51="",0,D51)+IF(E51="",0,E51)</f>
        <v>-37684874.94</v>
      </c>
      <c r="G51" s="10" t="s">
        <v>36</v>
      </c>
    </row>
    <row r="52" customFormat="false" ht="15" hidden="false" customHeight="false" outlineLevel="0" collapsed="false">
      <c r="A52" s="10" t="s">
        <v>82</v>
      </c>
      <c r="B52" s="10"/>
      <c r="C52" s="10" t="s">
        <v>83</v>
      </c>
      <c r="D52" s="12"/>
      <c r="E52" s="11" t="n">
        <v>216279.41</v>
      </c>
      <c r="F52" s="13" t="n">
        <f aca="false">F51-IF(D52="",0,D52)+IF(E52="",0,E52)</f>
        <v>-37468595.53</v>
      </c>
      <c r="G52" s="10" t="s">
        <v>36</v>
      </c>
    </row>
    <row r="53" customFormat="false" ht="15" hidden="false" customHeight="false" outlineLevel="0" collapsed="false">
      <c r="A53" s="10" t="s">
        <v>84</v>
      </c>
      <c r="B53" s="10"/>
      <c r="C53" s="10" t="s">
        <v>85</v>
      </c>
      <c r="D53" s="11" t="n">
        <v>436101.53</v>
      </c>
      <c r="E53" s="12"/>
      <c r="F53" s="13" t="n">
        <f aca="false">F52-IF(D53="",0,D53)+IF(E53="",0,E53)</f>
        <v>-37904697.06</v>
      </c>
      <c r="G53" s="10" t="s">
        <v>36</v>
      </c>
    </row>
    <row r="54" customFormat="false" ht="15" hidden="false" customHeight="false" outlineLevel="0" collapsed="false">
      <c r="A54" s="10" t="s">
        <v>84</v>
      </c>
      <c r="B54" s="10"/>
      <c r="C54" s="10" t="s">
        <v>86</v>
      </c>
      <c r="D54" s="11" t="n">
        <v>72155.39</v>
      </c>
      <c r="E54" s="12"/>
      <c r="F54" s="13" t="n">
        <f aca="false">F53-IF(D54="",0,D54)+IF(E54="",0,E54)</f>
        <v>-37976852.45</v>
      </c>
      <c r="G54" s="10" t="s">
        <v>36</v>
      </c>
    </row>
    <row r="55" customFormat="false" ht="15" hidden="false" customHeight="false" outlineLevel="0" collapsed="false">
      <c r="A55" s="10" t="s">
        <v>87</v>
      </c>
      <c r="B55" s="10"/>
      <c r="C55" s="10" t="s">
        <v>88</v>
      </c>
      <c r="D55" s="11" t="n">
        <v>410849.49</v>
      </c>
      <c r="E55" s="12"/>
      <c r="F55" s="13" t="n">
        <f aca="false">F54-IF(D55="",0,D55)+IF(E55="",0,E55)</f>
        <v>-38387701.94</v>
      </c>
      <c r="G55" s="10" t="s">
        <v>36</v>
      </c>
    </row>
    <row r="56" customFormat="false" ht="15" hidden="false" customHeight="false" outlineLevel="0" collapsed="false">
      <c r="A56" s="10" t="s">
        <v>87</v>
      </c>
      <c r="B56" s="10"/>
      <c r="C56" s="10" t="s">
        <v>89</v>
      </c>
      <c r="D56" s="12"/>
      <c r="E56" s="11" t="n">
        <v>1109979.68</v>
      </c>
      <c r="F56" s="13" t="n">
        <f aca="false">F55-IF(D56="",0,D56)+IF(E56="",0,E56)</f>
        <v>-37277722.26</v>
      </c>
      <c r="G56" s="10" t="s">
        <v>36</v>
      </c>
    </row>
    <row r="57" customFormat="false" ht="15" hidden="false" customHeight="false" outlineLevel="0" collapsed="false">
      <c r="A57" s="10" t="s">
        <v>87</v>
      </c>
      <c r="B57" s="10"/>
      <c r="C57" s="10" t="s">
        <v>90</v>
      </c>
      <c r="D57" s="12"/>
      <c r="E57" s="11" t="n">
        <v>826606.1</v>
      </c>
      <c r="F57" s="13" t="n">
        <f aca="false">F56-IF(D57="",0,D57)+IF(E57="",0,E57)</f>
        <v>-36451116.16</v>
      </c>
      <c r="G57" s="10" t="s">
        <v>36</v>
      </c>
    </row>
    <row r="58" customFormat="false" ht="15" hidden="false" customHeight="false" outlineLevel="0" collapsed="false">
      <c r="A58" s="10" t="s">
        <v>91</v>
      </c>
      <c r="B58" s="10"/>
      <c r="C58" s="10" t="s">
        <v>92</v>
      </c>
      <c r="D58" s="11" t="n">
        <v>1002656.61</v>
      </c>
      <c r="E58" s="12"/>
      <c r="F58" s="13" t="n">
        <f aca="false">F57-IF(D58="",0,D58)+IF(E58="",0,E58)</f>
        <v>-37453772.77</v>
      </c>
      <c r="G58" s="10" t="s">
        <v>36</v>
      </c>
    </row>
    <row r="59" customFormat="false" ht="15" hidden="false" customHeight="false" outlineLevel="0" collapsed="false">
      <c r="A59" s="10" t="s">
        <v>93</v>
      </c>
      <c r="B59" s="10"/>
      <c r="C59" s="10" t="s">
        <v>94</v>
      </c>
      <c r="D59" s="11" t="n">
        <v>3745598.94</v>
      </c>
      <c r="E59" s="12"/>
      <c r="F59" s="13" t="n">
        <f aca="false">F58-IF(D59="",0,D59)+IF(E59="",0,E59)</f>
        <v>-41199371.71</v>
      </c>
      <c r="G59" s="10" t="s">
        <v>36</v>
      </c>
    </row>
    <row r="60" customFormat="false" ht="15" hidden="false" customHeight="false" outlineLevel="0" collapsed="false">
      <c r="A60" s="10" t="s">
        <v>95</v>
      </c>
      <c r="B60" s="10"/>
      <c r="C60" s="10" t="s">
        <v>60</v>
      </c>
      <c r="D60" s="12"/>
      <c r="E60" s="11" t="n">
        <v>1228121.75</v>
      </c>
      <c r="F60" s="13" t="n">
        <f aca="false">F59-IF(D60="",0,D60)+IF(E60="",0,E60)</f>
        <v>-39971249.96</v>
      </c>
      <c r="G60" s="10" t="s">
        <v>36</v>
      </c>
    </row>
    <row r="61" customFormat="false" ht="15" hidden="false" customHeight="false" outlineLevel="0" collapsed="false">
      <c r="A61" s="10" t="s">
        <v>95</v>
      </c>
      <c r="B61" s="10" t="s">
        <v>96</v>
      </c>
      <c r="C61" s="10" t="s">
        <v>39</v>
      </c>
      <c r="D61" s="11" t="n">
        <v>239815.03</v>
      </c>
      <c r="E61" s="12"/>
      <c r="F61" s="13" t="n">
        <f aca="false">F60-IF(D61="",0,D61)+IF(E61="",0,E61)</f>
        <v>-40211064.99</v>
      </c>
      <c r="G61" s="10" t="s">
        <v>36</v>
      </c>
    </row>
    <row r="62" customFormat="false" ht="15" hidden="false" customHeight="false" outlineLevel="0" collapsed="false">
      <c r="A62" s="10" t="s">
        <v>97</v>
      </c>
      <c r="B62" s="10"/>
      <c r="C62" s="10" t="s">
        <v>47</v>
      </c>
      <c r="D62" s="11" t="n">
        <v>1420000</v>
      </c>
      <c r="E62" s="12"/>
      <c r="F62" s="13" t="n">
        <f aca="false">F61-IF(D62="",0,D62)+IF(E62="",0,E62)</f>
        <v>-41631064.99</v>
      </c>
      <c r="G62" s="10" t="s">
        <v>36</v>
      </c>
    </row>
    <row r="63" customFormat="false" ht="15" hidden="false" customHeight="false" outlineLevel="0" collapsed="false">
      <c r="A63" s="10" t="s">
        <v>97</v>
      </c>
      <c r="B63" s="10"/>
      <c r="C63" s="10" t="s">
        <v>98</v>
      </c>
      <c r="D63" s="12"/>
      <c r="E63" s="11" t="n">
        <v>1783863.77</v>
      </c>
      <c r="F63" s="13" t="n">
        <f aca="false">F62-IF(D63="",0,D63)+IF(E63="",0,E63)</f>
        <v>-39847201.22</v>
      </c>
      <c r="G63" s="10" t="s">
        <v>36</v>
      </c>
    </row>
    <row r="64" customFormat="false" ht="15" hidden="false" customHeight="false" outlineLevel="0" collapsed="false">
      <c r="A64" s="10" t="s">
        <v>97</v>
      </c>
      <c r="B64" s="10"/>
      <c r="C64" s="10" t="s">
        <v>99</v>
      </c>
      <c r="D64" s="12"/>
      <c r="E64" s="11" t="n">
        <v>313304.27</v>
      </c>
      <c r="F64" s="13" t="n">
        <f aca="false">F63-IF(D64="",0,D64)+IF(E64="",0,E64)</f>
        <v>-39533896.95</v>
      </c>
      <c r="G64" s="10" t="s">
        <v>36</v>
      </c>
    </row>
    <row r="65" customFormat="false" ht="15" hidden="false" customHeight="false" outlineLevel="0" collapsed="false">
      <c r="A65" s="10" t="s">
        <v>100</v>
      </c>
      <c r="B65" s="10"/>
      <c r="C65" s="10" t="s">
        <v>101</v>
      </c>
      <c r="D65" s="12"/>
      <c r="E65" s="11" t="n">
        <v>200974.95</v>
      </c>
      <c r="F65" s="13" t="n">
        <f aca="false">F64-IF(D65="",0,D65)+IF(E65="",0,E65)</f>
        <v>-39332922</v>
      </c>
      <c r="G65" s="10" t="s">
        <v>36</v>
      </c>
    </row>
    <row r="66" customFormat="false" ht="15" hidden="false" customHeight="false" outlineLevel="0" collapsed="false">
      <c r="A66" s="10" t="s">
        <v>100</v>
      </c>
      <c r="B66" s="10"/>
      <c r="C66" s="10" t="s">
        <v>102</v>
      </c>
      <c r="D66" s="12"/>
      <c r="E66" s="11" t="n">
        <v>3518760.97</v>
      </c>
      <c r="F66" s="13" t="n">
        <f aca="false">F65-IF(D66="",0,D66)+IF(E66="",0,E66)</f>
        <v>-35814161.03</v>
      </c>
      <c r="G66" s="10" t="s">
        <v>36</v>
      </c>
    </row>
    <row r="67" customFormat="false" ht="15" hidden="false" customHeight="false" outlineLevel="0" collapsed="false">
      <c r="A67" s="10" t="s">
        <v>100</v>
      </c>
      <c r="B67" s="10"/>
      <c r="C67" s="10" t="s">
        <v>103</v>
      </c>
      <c r="D67" s="12"/>
      <c r="E67" s="11" t="n">
        <v>4035598.03</v>
      </c>
      <c r="F67" s="13" t="n">
        <f aca="false">F66-IF(D67="",0,D67)+IF(E67="",0,E67)</f>
        <v>-31778563</v>
      </c>
      <c r="G67" s="10" t="s">
        <v>36</v>
      </c>
    </row>
    <row r="68" customFormat="false" ht="15" hidden="false" customHeight="false" outlineLevel="0" collapsed="false">
      <c r="A68" s="10" t="s">
        <v>104</v>
      </c>
      <c r="B68" s="10"/>
      <c r="C68" s="10" t="s">
        <v>60</v>
      </c>
      <c r="D68" s="12"/>
      <c r="E68" s="11" t="n">
        <v>1998923.7</v>
      </c>
      <c r="F68" s="13" t="n">
        <f aca="false">F67-IF(D68="",0,D68)+IF(E68="",0,E68)</f>
        <v>-29779639.3</v>
      </c>
      <c r="G68" s="10" t="s">
        <v>36</v>
      </c>
    </row>
    <row r="69" customFormat="false" ht="15" hidden="false" customHeight="false" outlineLevel="0" collapsed="false">
      <c r="A69" s="10" t="s">
        <v>104</v>
      </c>
      <c r="B69" s="10"/>
      <c r="C69" s="10" t="s">
        <v>54</v>
      </c>
      <c r="D69" s="11" t="n">
        <v>15654.78</v>
      </c>
      <c r="E69" s="12"/>
      <c r="F69" s="13" t="n">
        <f aca="false">F68-IF(D69="",0,D69)+IF(E69="",0,E69)</f>
        <v>-29795294.08</v>
      </c>
      <c r="G69" s="10" t="s">
        <v>36</v>
      </c>
    </row>
    <row r="70" customFormat="false" ht="15" hidden="false" customHeight="false" outlineLevel="0" collapsed="false">
      <c r="A70" s="10" t="s">
        <v>105</v>
      </c>
      <c r="B70" s="10"/>
      <c r="C70" s="10" t="s">
        <v>54</v>
      </c>
      <c r="D70" s="11" t="n">
        <v>8716.12</v>
      </c>
      <c r="E70" s="12"/>
      <c r="F70" s="13" t="n">
        <f aca="false">F69-IF(D70="",0,D70)+IF(E70="",0,E70)</f>
        <v>-29804010.2</v>
      </c>
      <c r="G70" s="10" t="s">
        <v>36</v>
      </c>
    </row>
    <row r="71" customFormat="false" ht="15" hidden="false" customHeight="false" outlineLevel="0" collapsed="false">
      <c r="A71" s="10" t="s">
        <v>105</v>
      </c>
      <c r="B71" s="10"/>
      <c r="C71" s="10" t="s">
        <v>106</v>
      </c>
      <c r="D71" s="12"/>
      <c r="E71" s="11" t="n">
        <v>168564.21</v>
      </c>
      <c r="F71" s="13" t="n">
        <f aca="false">F70-IF(D71="",0,D71)+IF(E71="",0,E71)</f>
        <v>-29635445.99</v>
      </c>
      <c r="G71" s="10" t="s">
        <v>36</v>
      </c>
    </row>
    <row r="72" customFormat="false" ht="15" hidden="false" customHeight="false" outlineLevel="0" collapsed="false">
      <c r="A72" s="10" t="s">
        <v>107</v>
      </c>
      <c r="B72" s="10"/>
      <c r="C72" s="10" t="s">
        <v>108</v>
      </c>
      <c r="D72" s="11" t="n">
        <v>179382.06</v>
      </c>
      <c r="E72" s="12"/>
      <c r="F72" s="13" t="n">
        <f aca="false">F71-IF(D72="",0,D72)+IF(E72="",0,E72)</f>
        <v>-29814828.05</v>
      </c>
      <c r="G72" s="10" t="s">
        <v>36</v>
      </c>
    </row>
    <row r="73" customFormat="false" ht="15" hidden="false" customHeight="false" outlineLevel="0" collapsed="false">
      <c r="A73" s="10" t="s">
        <v>107</v>
      </c>
      <c r="B73" s="10"/>
      <c r="C73" s="10" t="s">
        <v>109</v>
      </c>
      <c r="D73" s="12"/>
      <c r="E73" s="11" t="n">
        <v>626551.35</v>
      </c>
      <c r="F73" s="13" t="n">
        <f aca="false">F72-IF(D73="",0,D73)+IF(E73="",0,E73)</f>
        <v>-29188276.7</v>
      </c>
      <c r="G73" s="10" t="s">
        <v>36</v>
      </c>
    </row>
    <row r="74" customFormat="false" ht="15" hidden="false" customHeight="false" outlineLevel="0" collapsed="false">
      <c r="A74" s="10" t="s">
        <v>110</v>
      </c>
      <c r="B74" s="10"/>
      <c r="C74" s="10" t="s">
        <v>111</v>
      </c>
      <c r="D74" s="11" t="n">
        <v>87336.65</v>
      </c>
      <c r="E74" s="12"/>
      <c r="F74" s="13" t="n">
        <f aca="false">F73-IF(D74="",0,D74)+IF(E74="",0,E74)</f>
        <v>-29275613.35</v>
      </c>
      <c r="G74" s="10" t="s">
        <v>36</v>
      </c>
    </row>
    <row r="75" customFormat="false" ht="15" hidden="false" customHeight="false" outlineLevel="0" collapsed="false">
      <c r="A75" s="10" t="s">
        <v>110</v>
      </c>
      <c r="B75" s="10"/>
      <c r="C75" s="10" t="s">
        <v>54</v>
      </c>
      <c r="D75" s="11" t="n">
        <v>10732.46</v>
      </c>
      <c r="E75" s="12"/>
      <c r="F75" s="13" t="n">
        <f aca="false">F74-IF(D75="",0,D75)+IF(E75="",0,E75)</f>
        <v>-29286345.81</v>
      </c>
      <c r="G75" s="10" t="s">
        <v>36</v>
      </c>
    </row>
    <row r="76" customFormat="false" ht="15" hidden="false" customHeight="false" outlineLevel="0" collapsed="false">
      <c r="A76" s="10" t="s">
        <v>110</v>
      </c>
      <c r="B76" s="10"/>
      <c r="C76" s="10" t="s">
        <v>112</v>
      </c>
      <c r="D76" s="11" t="n">
        <v>3880140.43</v>
      </c>
      <c r="E76" s="12"/>
      <c r="F76" s="13" t="n">
        <f aca="false">F75-IF(D76="",0,D76)+IF(E76="",0,E76)</f>
        <v>-33166486.24</v>
      </c>
      <c r="G76" s="10" t="s">
        <v>36</v>
      </c>
    </row>
    <row r="77" customFormat="false" ht="15" hidden="false" customHeight="false" outlineLevel="0" collapsed="false">
      <c r="A77" s="10" t="s">
        <v>113</v>
      </c>
      <c r="B77" s="10"/>
      <c r="C77" s="10" t="s">
        <v>114</v>
      </c>
      <c r="D77" s="12"/>
      <c r="E77" s="11" t="n">
        <v>1678837.48</v>
      </c>
      <c r="F77" s="13" t="n">
        <f aca="false">F76-IF(D77="",0,D77)+IF(E77="",0,E77)</f>
        <v>-31487648.76</v>
      </c>
      <c r="G77" s="10" t="s">
        <v>36</v>
      </c>
    </row>
    <row r="78" customFormat="false" ht="15" hidden="false" customHeight="false" outlineLevel="0" collapsed="false">
      <c r="A78" s="10" t="s">
        <v>113</v>
      </c>
      <c r="B78" s="10" t="s">
        <v>115</v>
      </c>
      <c r="C78" s="10" t="s">
        <v>39</v>
      </c>
      <c r="D78" s="11" t="n">
        <v>225923.51</v>
      </c>
      <c r="E78" s="12"/>
      <c r="F78" s="13" t="n">
        <f aca="false">F77-IF(D78="",0,D78)+IF(E78="",0,E78)</f>
        <v>-31713572.27</v>
      </c>
      <c r="G78" s="10" t="s">
        <v>36</v>
      </c>
    </row>
    <row r="79" customFormat="false" ht="15" hidden="false" customHeight="false" outlineLevel="0" collapsed="false">
      <c r="A79" s="10" t="s">
        <v>116</v>
      </c>
      <c r="B79" s="10"/>
      <c r="C79" s="10" t="s">
        <v>117</v>
      </c>
      <c r="D79" s="12"/>
      <c r="E79" s="11" t="n">
        <v>3285253.82</v>
      </c>
      <c r="F79" s="13" t="n">
        <f aca="false">F78-IF(D79="",0,D79)+IF(E79="",0,E79)</f>
        <v>-28428318.45</v>
      </c>
      <c r="G79" s="10" t="s">
        <v>36</v>
      </c>
    </row>
    <row r="80" customFormat="false" ht="15" hidden="false" customHeight="false" outlineLevel="0" collapsed="false">
      <c r="A80" s="10" t="s">
        <v>118</v>
      </c>
      <c r="B80" s="10"/>
      <c r="C80" s="10" t="s">
        <v>119</v>
      </c>
      <c r="D80" s="11" t="n">
        <v>305031.28</v>
      </c>
      <c r="E80" s="12"/>
      <c r="F80" s="13" t="n">
        <f aca="false">F79-IF(D80="",0,D80)+IF(E80="",0,E80)</f>
        <v>-28733349.73</v>
      </c>
      <c r="G80" s="10" t="s">
        <v>36</v>
      </c>
    </row>
    <row r="81" customFormat="false" ht="15" hidden="false" customHeight="false" outlineLevel="0" collapsed="false">
      <c r="A81" s="10" t="s">
        <v>118</v>
      </c>
      <c r="B81" s="10"/>
      <c r="C81" s="10" t="s">
        <v>120</v>
      </c>
      <c r="D81" s="11" t="n">
        <v>3333142.09</v>
      </c>
      <c r="E81" s="12"/>
      <c r="F81" s="13" t="n">
        <f aca="false">F80-IF(D81="",0,D81)+IF(E81="",0,E81)</f>
        <v>-32066491.82</v>
      </c>
      <c r="G81" s="10" t="s">
        <v>36</v>
      </c>
    </row>
    <row r="82" customFormat="false" ht="15" hidden="false" customHeight="false" outlineLevel="0" collapsed="false">
      <c r="A82" s="10" t="s">
        <v>121</v>
      </c>
      <c r="B82" s="10"/>
      <c r="C82" s="10" t="s">
        <v>122</v>
      </c>
      <c r="D82" s="12"/>
      <c r="E82" s="11" t="n">
        <v>498684.86</v>
      </c>
      <c r="F82" s="13" t="n">
        <f aca="false">F81-IF(D82="",0,D82)+IF(E82="",0,E82)</f>
        <v>-31567806.96</v>
      </c>
      <c r="G82" s="10" t="s">
        <v>36</v>
      </c>
    </row>
    <row r="83" customFormat="false" ht="15" hidden="false" customHeight="false" outlineLevel="0" collapsed="false">
      <c r="A83" s="10" t="s">
        <v>121</v>
      </c>
      <c r="B83" s="10"/>
      <c r="C83" s="10" t="s">
        <v>123</v>
      </c>
      <c r="D83" s="12"/>
      <c r="E83" s="11" t="n">
        <v>208362.15</v>
      </c>
      <c r="F83" s="13" t="n">
        <f aca="false">F82-IF(D83="",0,D83)+IF(E83="",0,E83)</f>
        <v>-31359444.81</v>
      </c>
      <c r="G83" s="10" t="s">
        <v>36</v>
      </c>
    </row>
    <row r="84" customFormat="false" ht="15" hidden="false" customHeight="false" outlineLevel="0" collapsed="false">
      <c r="A84" s="10" t="s">
        <v>124</v>
      </c>
      <c r="B84" s="10"/>
      <c r="C84" s="10" t="s">
        <v>54</v>
      </c>
      <c r="D84" s="11" t="n">
        <v>12636.63</v>
      </c>
      <c r="E84" s="12"/>
      <c r="F84" s="13" t="n">
        <f aca="false">F83-IF(D84="",0,D84)+IF(E84="",0,E84)</f>
        <v>-31372081.44</v>
      </c>
      <c r="G84" s="10" t="s">
        <v>36</v>
      </c>
    </row>
    <row r="85" customFormat="false" ht="15" hidden="false" customHeight="false" outlineLevel="0" collapsed="false">
      <c r="A85" s="10" t="s">
        <v>124</v>
      </c>
      <c r="B85" s="10"/>
      <c r="C85" s="10" t="s">
        <v>60</v>
      </c>
      <c r="D85" s="12"/>
      <c r="E85" s="11" t="n">
        <v>655379.75</v>
      </c>
      <c r="F85" s="13" t="n">
        <f aca="false">F84-IF(D85="",0,D85)+IF(E85="",0,E85)</f>
        <v>-30716701.69</v>
      </c>
      <c r="G85" s="10" t="s">
        <v>36</v>
      </c>
    </row>
    <row r="86" customFormat="false" ht="15" hidden="false" customHeight="false" outlineLevel="0" collapsed="false">
      <c r="A86" s="10" t="s">
        <v>125</v>
      </c>
      <c r="B86" s="10"/>
      <c r="C86" s="10" t="s">
        <v>126</v>
      </c>
      <c r="D86" s="12"/>
      <c r="E86" s="11" t="n">
        <v>1959075.04</v>
      </c>
      <c r="F86" s="13" t="n">
        <f aca="false">F85-IF(D86="",0,D86)+IF(E86="",0,E86)</f>
        <v>-28757626.65</v>
      </c>
      <c r="G86" s="10" t="s">
        <v>36</v>
      </c>
    </row>
    <row r="87" customFormat="false" ht="15" hidden="false" customHeight="false" outlineLevel="0" collapsed="false">
      <c r="A87" s="10" t="s">
        <v>127</v>
      </c>
      <c r="B87" s="10"/>
      <c r="C87" s="10" t="s">
        <v>128</v>
      </c>
      <c r="D87" s="11" t="n">
        <v>91288.84</v>
      </c>
      <c r="E87" s="12"/>
      <c r="F87" s="13" t="n">
        <f aca="false">F86-IF(D87="",0,D87)+IF(E87="",0,E87)</f>
        <v>-28848915.49</v>
      </c>
      <c r="G87" s="10" t="s">
        <v>36</v>
      </c>
    </row>
    <row r="88" customFormat="false" ht="15" hidden="false" customHeight="false" outlineLevel="0" collapsed="false">
      <c r="A88" s="10" t="s">
        <v>129</v>
      </c>
      <c r="B88" s="10"/>
      <c r="C88" s="10" t="s">
        <v>130</v>
      </c>
      <c r="D88" s="11" t="n">
        <v>1114802.84</v>
      </c>
      <c r="E88" s="12"/>
      <c r="F88" s="13" t="n">
        <f aca="false">F87-IF(D88="",0,D88)+IF(E88="",0,E88)</f>
        <v>-29963718.33</v>
      </c>
      <c r="G88" s="10" t="s">
        <v>36</v>
      </c>
    </row>
    <row r="89" customFormat="false" ht="15" hidden="false" customHeight="false" outlineLevel="0" collapsed="false">
      <c r="A89" s="10" t="s">
        <v>131</v>
      </c>
      <c r="B89" s="10"/>
      <c r="C89" s="10" t="s">
        <v>132</v>
      </c>
      <c r="D89" s="11" t="n">
        <v>339678.09</v>
      </c>
      <c r="E89" s="12"/>
      <c r="F89" s="13" t="n">
        <f aca="false">F88-IF(D89="",0,D89)+IF(E89="",0,E89)</f>
        <v>-30303396.42</v>
      </c>
      <c r="G89" s="10" t="s">
        <v>36</v>
      </c>
    </row>
    <row r="90" customFormat="false" ht="15" hidden="false" customHeight="false" outlineLevel="0" collapsed="false">
      <c r="A90" s="10" t="s">
        <v>131</v>
      </c>
      <c r="B90" s="10"/>
      <c r="C90" s="10" t="s">
        <v>133</v>
      </c>
      <c r="D90" s="11" t="n">
        <v>783553.91</v>
      </c>
      <c r="E90" s="12"/>
      <c r="F90" s="13" t="n">
        <f aca="false">F89-IF(D90="",0,D90)+IF(E90="",0,E90)</f>
        <v>-31086950.33</v>
      </c>
      <c r="G90" s="10" t="s">
        <v>36</v>
      </c>
    </row>
    <row r="91" customFormat="false" ht="15" hidden="false" customHeight="false" outlineLevel="0" collapsed="false">
      <c r="A91" s="10" t="s">
        <v>131</v>
      </c>
      <c r="B91" s="10"/>
      <c r="C91" s="10" t="s">
        <v>134</v>
      </c>
      <c r="D91" s="12"/>
      <c r="E91" s="11" t="n">
        <v>2384606.97</v>
      </c>
      <c r="F91" s="13" t="n">
        <f aca="false">F90-IF(D91="",0,D91)+IF(E91="",0,E91)</f>
        <v>-28702343.36</v>
      </c>
      <c r="G91" s="10" t="s">
        <v>36</v>
      </c>
    </row>
    <row r="92" customFormat="false" ht="15" hidden="false" customHeight="false" outlineLevel="0" collapsed="false">
      <c r="A92" s="10" t="s">
        <v>135</v>
      </c>
      <c r="B92" s="10"/>
      <c r="C92" s="10" t="s">
        <v>136</v>
      </c>
      <c r="D92" s="11" t="n">
        <v>643404.02</v>
      </c>
      <c r="E92" s="12"/>
      <c r="F92" s="13" t="n">
        <f aca="false">F91-IF(D92="",0,D92)+IF(E92="",0,E92)</f>
        <v>-29345747.38</v>
      </c>
      <c r="G92" s="10" t="s">
        <v>36</v>
      </c>
    </row>
    <row r="93" customFormat="false" ht="15" hidden="false" customHeight="false" outlineLevel="0" collapsed="false">
      <c r="A93" s="10" t="s">
        <v>137</v>
      </c>
      <c r="B93" s="10"/>
      <c r="C93" s="10" t="s">
        <v>54</v>
      </c>
      <c r="D93" s="11" t="n">
        <v>17569.04</v>
      </c>
      <c r="E93" s="12"/>
      <c r="F93" s="13" t="n">
        <f aca="false">F92-IF(D93="",0,D93)+IF(E93="",0,E93)</f>
        <v>-29363316.42</v>
      </c>
      <c r="G93" s="10" t="s">
        <v>36</v>
      </c>
    </row>
    <row r="94" customFormat="false" ht="15" hidden="false" customHeight="false" outlineLevel="0" collapsed="false">
      <c r="A94" s="10" t="s">
        <v>138</v>
      </c>
      <c r="B94" s="10"/>
      <c r="C94" s="10" t="s">
        <v>139</v>
      </c>
      <c r="D94" s="11" t="n">
        <v>1007391.84</v>
      </c>
      <c r="E94" s="12"/>
      <c r="F94" s="13" t="n">
        <f aca="false">F93-IF(D94="",0,D94)+IF(E94="",0,E94)</f>
        <v>-30370708.26</v>
      </c>
      <c r="G94" s="10" t="s">
        <v>36</v>
      </c>
    </row>
    <row r="95" customFormat="false" ht="15" hidden="false" customHeight="false" outlineLevel="0" collapsed="false">
      <c r="A95" s="10" t="s">
        <v>138</v>
      </c>
      <c r="B95" s="10"/>
      <c r="C95" s="10" t="s">
        <v>140</v>
      </c>
      <c r="D95" s="12"/>
      <c r="E95" s="11" t="n">
        <v>259162.73</v>
      </c>
      <c r="F95" s="13" t="n">
        <f aca="false">F94-IF(D95="",0,D95)+IF(E95="",0,E95)</f>
        <v>-30111545.53</v>
      </c>
      <c r="G95" s="10" t="s">
        <v>36</v>
      </c>
    </row>
    <row r="96" customFormat="false" ht="15" hidden="false" customHeight="false" outlineLevel="0" collapsed="false">
      <c r="A96" s="10" t="s">
        <v>138</v>
      </c>
      <c r="B96" s="10"/>
      <c r="C96" s="10" t="s">
        <v>141</v>
      </c>
      <c r="D96" s="11" t="n">
        <v>65864.7</v>
      </c>
      <c r="E96" s="12"/>
      <c r="F96" s="13" t="n">
        <f aca="false">F95-IF(D96="",0,D96)+IF(E96="",0,E96)</f>
        <v>-30177410.23</v>
      </c>
      <c r="G96" s="10" t="s">
        <v>36</v>
      </c>
    </row>
    <row r="97" customFormat="false" ht="15" hidden="false" customHeight="false" outlineLevel="0" collapsed="false">
      <c r="A97" s="10" t="s">
        <v>138</v>
      </c>
      <c r="B97" s="10"/>
      <c r="C97" s="10" t="s">
        <v>54</v>
      </c>
      <c r="D97" s="11" t="n">
        <v>15066.96</v>
      </c>
      <c r="E97" s="12"/>
      <c r="F97" s="13" t="n">
        <f aca="false">F96-IF(D97="",0,D97)+IF(E97="",0,E97)</f>
        <v>-30192477.19</v>
      </c>
      <c r="G97" s="10" t="s">
        <v>36</v>
      </c>
    </row>
    <row r="98" customFormat="false" ht="15" hidden="false" customHeight="false" outlineLevel="0" collapsed="false">
      <c r="A98" s="10" t="s">
        <v>142</v>
      </c>
      <c r="B98" s="10"/>
      <c r="C98" s="10" t="s">
        <v>143</v>
      </c>
      <c r="D98" s="11" t="n">
        <v>1004147.85</v>
      </c>
      <c r="E98" s="12"/>
      <c r="F98" s="13" t="n">
        <f aca="false">F97-IF(D98="",0,D98)+IF(E98="",0,E98)</f>
        <v>-31196625.04</v>
      </c>
      <c r="G98" s="10" t="s">
        <v>36</v>
      </c>
    </row>
    <row r="99" customFormat="false" ht="15" hidden="false" customHeight="false" outlineLevel="0" collapsed="false">
      <c r="A99" s="10" t="s">
        <v>144</v>
      </c>
      <c r="B99" s="10"/>
      <c r="C99" s="10" t="s">
        <v>145</v>
      </c>
      <c r="D99" s="11" t="n">
        <v>3030166.89</v>
      </c>
      <c r="E99" s="12"/>
      <c r="F99" s="13" t="n">
        <f aca="false">F98-IF(D99="",0,D99)+IF(E99="",0,E99)</f>
        <v>-34226791.93</v>
      </c>
      <c r="G99" s="10" t="s">
        <v>36</v>
      </c>
    </row>
    <row r="100" customFormat="false" ht="15" hidden="false" customHeight="false" outlineLevel="0" collapsed="false">
      <c r="A100" s="10" t="s">
        <v>146</v>
      </c>
      <c r="B100" s="10"/>
      <c r="C100" s="10" t="s">
        <v>147</v>
      </c>
      <c r="D100" s="11" t="n">
        <v>196366.79</v>
      </c>
      <c r="E100" s="12"/>
      <c r="F100" s="13" t="n">
        <f aca="false">F99-IF(D100="",0,D100)+IF(E100="",0,E100)</f>
        <v>-34423158.72</v>
      </c>
      <c r="G100" s="10" t="s">
        <v>36</v>
      </c>
    </row>
    <row r="101" customFormat="false" ht="15" hidden="false" customHeight="false" outlineLevel="0" collapsed="false">
      <c r="A101" s="10" t="s">
        <v>148</v>
      </c>
      <c r="B101" s="10"/>
      <c r="C101" s="10" t="s">
        <v>47</v>
      </c>
      <c r="D101" s="11" t="n">
        <v>1420000</v>
      </c>
      <c r="E101" s="12"/>
      <c r="F101" s="13" t="n">
        <f aca="false">F100-IF(D101="",0,D101)+IF(E101="",0,E101)</f>
        <v>-35843158.72</v>
      </c>
      <c r="G101" s="10" t="s">
        <v>36</v>
      </c>
    </row>
    <row r="102" customFormat="false" ht="15" hidden="false" customHeight="false" outlineLevel="0" collapsed="false">
      <c r="A102" s="10" t="s">
        <v>148</v>
      </c>
      <c r="B102" s="10"/>
      <c r="C102" s="10" t="s">
        <v>149</v>
      </c>
      <c r="D102" s="12"/>
      <c r="E102" s="11" t="n">
        <v>2274324.12</v>
      </c>
      <c r="F102" s="13" t="n">
        <f aca="false">F101-IF(D102="",0,D102)+IF(E102="",0,E102)</f>
        <v>-33568834.6</v>
      </c>
      <c r="G102" s="10" t="s">
        <v>36</v>
      </c>
    </row>
    <row r="103" customFormat="false" ht="15" hidden="false" customHeight="false" outlineLevel="0" collapsed="false">
      <c r="A103" s="10" t="s">
        <v>150</v>
      </c>
      <c r="B103" s="10"/>
      <c r="C103" s="10" t="s">
        <v>151</v>
      </c>
      <c r="D103" s="11" t="n">
        <v>325012.07</v>
      </c>
      <c r="E103" s="12"/>
      <c r="F103" s="13" t="n">
        <f aca="false">F102-IF(D103="",0,D103)+IF(E103="",0,E103)</f>
        <v>-33893846.67</v>
      </c>
      <c r="G103" s="10" t="s">
        <v>36</v>
      </c>
    </row>
    <row r="104" customFormat="false" ht="15" hidden="false" customHeight="false" outlineLevel="0" collapsed="false">
      <c r="A104" s="10" t="s">
        <v>152</v>
      </c>
      <c r="B104" s="10"/>
      <c r="C104" s="10" t="s">
        <v>153</v>
      </c>
      <c r="D104" s="11" t="n">
        <v>5008153.65</v>
      </c>
      <c r="E104" s="12"/>
      <c r="F104" s="13" t="n">
        <f aca="false">F103-IF(D104="",0,D104)+IF(E104="",0,E104)</f>
        <v>-38902000.32</v>
      </c>
      <c r="G104" s="10" t="s">
        <v>36</v>
      </c>
    </row>
    <row r="105" customFormat="false" ht="15" hidden="false" customHeight="false" outlineLevel="0" collapsed="false">
      <c r="A105" s="10" t="s">
        <v>154</v>
      </c>
      <c r="B105" s="10"/>
      <c r="C105" s="10" t="s">
        <v>155</v>
      </c>
      <c r="D105" s="11" t="n">
        <v>334431.48</v>
      </c>
      <c r="E105" s="12"/>
      <c r="F105" s="13" t="n">
        <f aca="false">F104-IF(D105="",0,D105)+IF(E105="",0,E105)</f>
        <v>-39236431.8</v>
      </c>
      <c r="G105" s="10" t="s">
        <v>36</v>
      </c>
    </row>
    <row r="106" customFormat="false" ht="15" hidden="false" customHeight="false" outlineLevel="0" collapsed="false">
      <c r="A106" s="10" t="s">
        <v>154</v>
      </c>
      <c r="B106" s="10"/>
      <c r="C106" s="10" t="s">
        <v>156</v>
      </c>
      <c r="D106" s="12"/>
      <c r="E106" s="11" t="n">
        <v>180376.74</v>
      </c>
      <c r="F106" s="13" t="n">
        <f aca="false">F105-IF(D106="",0,D106)+IF(E106="",0,E106)</f>
        <v>-39056055.06</v>
      </c>
      <c r="G106" s="10" t="s">
        <v>36</v>
      </c>
    </row>
    <row r="107" customFormat="false" ht="15" hidden="false" customHeight="false" outlineLevel="0" collapsed="false">
      <c r="A107" s="10" t="s">
        <v>157</v>
      </c>
      <c r="B107" s="10"/>
      <c r="C107" s="10" t="s">
        <v>158</v>
      </c>
      <c r="D107" s="11" t="n">
        <v>564625.13</v>
      </c>
      <c r="E107" s="12"/>
      <c r="F107" s="13" t="n">
        <f aca="false">F106-IF(D107="",0,D107)+IF(E107="",0,E107)</f>
        <v>-39620680.19</v>
      </c>
      <c r="G107" s="10" t="s">
        <v>36</v>
      </c>
    </row>
    <row r="108" customFormat="false" ht="15" hidden="false" customHeight="false" outlineLevel="0" collapsed="false">
      <c r="A108" s="10" t="s">
        <v>157</v>
      </c>
      <c r="B108" s="10"/>
      <c r="C108" s="10" t="s">
        <v>159</v>
      </c>
      <c r="D108" s="12"/>
      <c r="E108" s="11" t="n">
        <v>252304.64</v>
      </c>
      <c r="F108" s="13" t="n">
        <f aca="false">F107-IF(D108="",0,D108)+IF(E108="",0,E108)</f>
        <v>-39368375.55</v>
      </c>
      <c r="G108" s="10" t="s">
        <v>36</v>
      </c>
    </row>
    <row r="109" customFormat="false" ht="15" hidden="false" customHeight="false" outlineLevel="0" collapsed="false">
      <c r="A109" s="10" t="s">
        <v>160</v>
      </c>
      <c r="B109" s="10"/>
      <c r="C109" s="10" t="s">
        <v>161</v>
      </c>
      <c r="D109" s="11" t="n">
        <v>169304.07</v>
      </c>
      <c r="E109" s="12"/>
      <c r="F109" s="13" t="n">
        <f aca="false">F108-IF(D109="",0,D109)+IF(E109="",0,E109)</f>
        <v>-39537679.62</v>
      </c>
      <c r="G109" s="10" t="s">
        <v>36</v>
      </c>
    </row>
    <row r="110" customFormat="false" ht="15" hidden="false" customHeight="false" outlineLevel="0" collapsed="false">
      <c r="A110" s="10" t="s">
        <v>162</v>
      </c>
      <c r="B110" s="10"/>
      <c r="C110" s="10" t="s">
        <v>163</v>
      </c>
      <c r="D110" s="11" t="n">
        <v>166506.32</v>
      </c>
      <c r="E110" s="12"/>
      <c r="F110" s="13" t="n">
        <f aca="false">F109-IF(D110="",0,D110)+IF(E110="",0,E110)</f>
        <v>-39704185.94</v>
      </c>
      <c r="G110" s="10" t="s">
        <v>36</v>
      </c>
    </row>
    <row r="111" customFormat="false" ht="15" hidden="false" customHeight="false" outlineLevel="0" collapsed="false">
      <c r="A111" s="10" t="s">
        <v>162</v>
      </c>
      <c r="B111" s="10"/>
      <c r="C111" s="10" t="s">
        <v>164</v>
      </c>
      <c r="D111" s="11" t="n">
        <v>662160.35</v>
      </c>
      <c r="E111" s="12"/>
      <c r="F111" s="13" t="n">
        <f aca="false">F110-IF(D111="",0,D111)+IF(E111="",0,E111)</f>
        <v>-40366346.29</v>
      </c>
      <c r="G111" s="10" t="s">
        <v>36</v>
      </c>
    </row>
    <row r="112" customFormat="false" ht="15" hidden="false" customHeight="false" outlineLevel="0" collapsed="false">
      <c r="A112" s="10" t="s">
        <v>162</v>
      </c>
      <c r="B112" s="10"/>
      <c r="C112" s="10" t="s">
        <v>165</v>
      </c>
      <c r="D112" s="12"/>
      <c r="E112" s="11" t="n">
        <v>196545.06</v>
      </c>
      <c r="F112" s="13" t="n">
        <f aca="false">F111-IF(D112="",0,D112)+IF(E112="",0,E112)</f>
        <v>-40169801.23</v>
      </c>
      <c r="G112" s="10" t="s">
        <v>36</v>
      </c>
    </row>
    <row r="113" customFormat="false" ht="15" hidden="false" customHeight="false" outlineLevel="0" collapsed="false">
      <c r="A113" s="10" t="s">
        <v>166</v>
      </c>
      <c r="B113" s="10"/>
      <c r="C113" s="10" t="s">
        <v>167</v>
      </c>
      <c r="D113" s="12"/>
      <c r="E113" s="11" t="n">
        <v>5251763.26</v>
      </c>
      <c r="F113" s="13" t="n">
        <f aca="false">F112-IF(D113="",0,D113)+IF(E113="",0,E113)</f>
        <v>-34918037.97</v>
      </c>
      <c r="G113" s="10" t="s">
        <v>36</v>
      </c>
    </row>
    <row r="114" customFormat="false" ht="15" hidden="false" customHeight="false" outlineLevel="0" collapsed="false">
      <c r="A114" s="10" t="s">
        <v>166</v>
      </c>
      <c r="B114" s="10"/>
      <c r="C114" s="10" t="s">
        <v>168</v>
      </c>
      <c r="D114" s="12"/>
      <c r="E114" s="11" t="n">
        <v>265595.13</v>
      </c>
      <c r="F114" s="13" t="n">
        <f aca="false">F113-IF(D114="",0,D114)+IF(E114="",0,E114)</f>
        <v>-34652442.84</v>
      </c>
      <c r="G114" s="10" t="s">
        <v>36</v>
      </c>
    </row>
    <row r="115" customFormat="false" ht="15" hidden="false" customHeight="false" outlineLevel="0" collapsed="false">
      <c r="A115" s="10" t="s">
        <v>169</v>
      </c>
      <c r="B115" s="10"/>
      <c r="C115" s="10" t="s">
        <v>170</v>
      </c>
      <c r="D115" s="11" t="n">
        <v>73849.69</v>
      </c>
      <c r="E115" s="12"/>
      <c r="F115" s="13" t="n">
        <f aca="false">F114-IF(D115="",0,D115)+IF(E115="",0,E115)</f>
        <v>-34726292.53</v>
      </c>
      <c r="G115" s="10" t="s">
        <v>36</v>
      </c>
    </row>
    <row r="116" customFormat="false" ht="15" hidden="false" customHeight="false" outlineLevel="0" collapsed="false">
      <c r="A116" s="10" t="s">
        <v>169</v>
      </c>
      <c r="B116" s="10"/>
      <c r="C116" s="10" t="s">
        <v>171</v>
      </c>
      <c r="D116" s="11" t="n">
        <v>128600.21</v>
      </c>
      <c r="E116" s="12"/>
      <c r="F116" s="13" t="n">
        <f aca="false">F115-IF(D116="",0,D116)+IF(E116="",0,E116)</f>
        <v>-34854892.74</v>
      </c>
      <c r="G116" s="10" t="s">
        <v>36</v>
      </c>
    </row>
    <row r="117" customFormat="false" ht="15" hidden="false" customHeight="false" outlineLevel="0" collapsed="false">
      <c r="A117" s="10" t="s">
        <v>172</v>
      </c>
      <c r="B117" s="10"/>
      <c r="C117" s="10" t="s">
        <v>173</v>
      </c>
      <c r="D117" s="12"/>
      <c r="E117" s="11" t="n">
        <v>914169.34</v>
      </c>
      <c r="F117" s="13" t="n">
        <f aca="false">F116-IF(D117="",0,D117)+IF(E117="",0,E117)</f>
        <v>-33940723.4</v>
      </c>
      <c r="G117" s="10" t="s">
        <v>36</v>
      </c>
    </row>
    <row r="118" customFormat="false" ht="15" hidden="false" customHeight="false" outlineLevel="0" collapsed="false">
      <c r="A118" s="10" t="s">
        <v>174</v>
      </c>
      <c r="B118" s="10"/>
      <c r="C118" s="10" t="s">
        <v>60</v>
      </c>
      <c r="D118" s="12"/>
      <c r="E118" s="11" t="n">
        <v>1363506.35</v>
      </c>
      <c r="F118" s="13" t="n">
        <f aca="false">F117-IF(D118="",0,D118)+IF(E118="",0,E118)</f>
        <v>-32577217.05</v>
      </c>
      <c r="G118" s="10" t="s">
        <v>36</v>
      </c>
    </row>
    <row r="119" customFormat="false" ht="15" hidden="false" customHeight="false" outlineLevel="0" collapsed="false">
      <c r="A119" s="10" t="s">
        <v>174</v>
      </c>
      <c r="B119" s="10"/>
      <c r="C119" s="10" t="s">
        <v>175</v>
      </c>
      <c r="D119" s="12"/>
      <c r="E119" s="11" t="n">
        <v>3227414.64</v>
      </c>
      <c r="F119" s="13" t="n">
        <f aca="false">F118-IF(D119="",0,D119)+IF(E119="",0,E119)</f>
        <v>-29349802.41</v>
      </c>
      <c r="G119" s="10" t="s">
        <v>36</v>
      </c>
    </row>
    <row r="120" customFormat="false" ht="15" hidden="false" customHeight="false" outlineLevel="0" collapsed="false">
      <c r="A120" s="10" t="s">
        <v>176</v>
      </c>
      <c r="B120" s="10"/>
      <c r="C120" s="10" t="s">
        <v>177</v>
      </c>
      <c r="D120" s="11" t="n">
        <v>114924.3</v>
      </c>
      <c r="E120" s="12"/>
      <c r="F120" s="13" t="n">
        <f aca="false">F119-IF(D120="",0,D120)+IF(E120="",0,E120)</f>
        <v>-29464726.71</v>
      </c>
      <c r="G120" s="10" t="s">
        <v>36</v>
      </c>
    </row>
    <row r="121" customFormat="false" ht="15" hidden="false" customHeight="false" outlineLevel="0" collapsed="false">
      <c r="A121" s="10" t="s">
        <v>178</v>
      </c>
      <c r="B121" s="10"/>
      <c r="C121" s="10" t="s">
        <v>179</v>
      </c>
      <c r="D121" s="11" t="n">
        <v>3325847.3</v>
      </c>
      <c r="E121" s="12"/>
      <c r="F121" s="13" t="n">
        <f aca="false">F120-IF(D121="",0,D121)+IF(E121="",0,E121)</f>
        <v>-32790574.01</v>
      </c>
      <c r="G121" s="10" t="s">
        <v>36</v>
      </c>
    </row>
    <row r="122" customFormat="false" ht="15" hidden="false" customHeight="false" outlineLevel="0" collapsed="false">
      <c r="A122" s="10" t="s">
        <v>180</v>
      </c>
      <c r="B122" s="10" t="s">
        <v>181</v>
      </c>
      <c r="C122" s="10" t="s">
        <v>39</v>
      </c>
      <c r="D122" s="11" t="n">
        <v>244817.6</v>
      </c>
      <c r="E122" s="12"/>
      <c r="F122" s="13" t="n">
        <f aca="false">F121-IF(D122="",0,D122)+IF(E122="",0,E122)</f>
        <v>-33035391.61</v>
      </c>
      <c r="G122" s="10" t="s">
        <v>36</v>
      </c>
    </row>
    <row r="123" customFormat="false" ht="15" hidden="false" customHeight="false" outlineLevel="0" collapsed="false">
      <c r="A123" s="10" t="s">
        <v>180</v>
      </c>
      <c r="B123" s="10" t="s">
        <v>182</v>
      </c>
      <c r="C123" s="10" t="s">
        <v>39</v>
      </c>
      <c r="D123" s="11" t="n">
        <v>205937.54</v>
      </c>
      <c r="E123" s="12"/>
      <c r="F123" s="13" t="n">
        <f aca="false">F122-IF(D123="",0,D123)+IF(E123="",0,E123)</f>
        <v>-33241329.15</v>
      </c>
      <c r="G123" s="10" t="s">
        <v>36</v>
      </c>
    </row>
    <row r="124" customFormat="false" ht="15" hidden="false" customHeight="false" outlineLevel="0" collapsed="false">
      <c r="A124" s="10" t="s">
        <v>180</v>
      </c>
      <c r="B124" s="10"/>
      <c r="C124" s="10" t="s">
        <v>183</v>
      </c>
      <c r="D124" s="12"/>
      <c r="E124" s="11" t="n">
        <v>3907492.69</v>
      </c>
      <c r="F124" s="13" t="n">
        <f aca="false">F123-IF(D124="",0,D124)+IF(E124="",0,E124)</f>
        <v>-29333836.46</v>
      </c>
      <c r="G124" s="10" t="s">
        <v>36</v>
      </c>
    </row>
    <row r="125" customFormat="false" ht="15" hidden="false" customHeight="false" outlineLevel="0" collapsed="false">
      <c r="A125" s="10" t="s">
        <v>184</v>
      </c>
      <c r="B125" s="10"/>
      <c r="C125" s="10" t="s">
        <v>185</v>
      </c>
      <c r="D125" s="11" t="n">
        <v>695885.33</v>
      </c>
      <c r="E125" s="12"/>
      <c r="F125" s="13" t="n">
        <f aca="false">F124-IF(D125="",0,D125)+IF(E125="",0,E125)</f>
        <v>-30029721.79</v>
      </c>
      <c r="G125" s="10" t="s">
        <v>36</v>
      </c>
    </row>
    <row r="126" customFormat="false" ht="15" hidden="false" customHeight="false" outlineLevel="0" collapsed="false">
      <c r="A126" s="10" t="s">
        <v>184</v>
      </c>
      <c r="B126" s="10"/>
      <c r="C126" s="10" t="s">
        <v>186</v>
      </c>
      <c r="D126" s="12"/>
      <c r="E126" s="11" t="n">
        <v>779564.35</v>
      </c>
      <c r="F126" s="13" t="n">
        <f aca="false">F125-IF(D126="",0,D126)+IF(E126="",0,E126)</f>
        <v>-29250157.44</v>
      </c>
      <c r="G126" s="10" t="s">
        <v>36</v>
      </c>
    </row>
    <row r="127" customFormat="false" ht="15" hidden="false" customHeight="false" outlineLevel="0" collapsed="false">
      <c r="A127" s="10" t="s">
        <v>187</v>
      </c>
      <c r="B127" s="10"/>
      <c r="C127" s="10" t="s">
        <v>188</v>
      </c>
      <c r="D127" s="12"/>
      <c r="E127" s="11" t="n">
        <v>198576.49</v>
      </c>
      <c r="F127" s="13" t="n">
        <f aca="false">F126-IF(D127="",0,D127)+IF(E127="",0,E127)</f>
        <v>-29051580.95</v>
      </c>
      <c r="G127" s="10" t="s">
        <v>36</v>
      </c>
    </row>
    <row r="128" customFormat="false" ht="15" hidden="false" customHeight="false" outlineLevel="0" collapsed="false">
      <c r="A128" s="10" t="s">
        <v>189</v>
      </c>
      <c r="B128" s="10"/>
      <c r="C128" s="10" t="s">
        <v>190</v>
      </c>
      <c r="D128" s="12"/>
      <c r="E128" s="11" t="n">
        <v>3596659.37</v>
      </c>
      <c r="F128" s="13" t="n">
        <f aca="false">F127-IF(D128="",0,D128)+IF(E128="",0,E128)</f>
        <v>-25454921.58</v>
      </c>
      <c r="G128" s="10" t="s">
        <v>36</v>
      </c>
    </row>
    <row r="129" customFormat="false" ht="15" hidden="false" customHeight="false" outlineLevel="0" collapsed="false">
      <c r="A129" s="10" t="s">
        <v>189</v>
      </c>
      <c r="B129" s="10"/>
      <c r="C129" s="10" t="s">
        <v>191</v>
      </c>
      <c r="D129" s="11" t="n">
        <v>412887.01</v>
      </c>
      <c r="E129" s="12"/>
      <c r="F129" s="13" t="n">
        <f aca="false">F128-IF(D129="",0,D129)+IF(E129="",0,E129)</f>
        <v>-25867808.59</v>
      </c>
      <c r="G129" s="10" t="s">
        <v>36</v>
      </c>
    </row>
    <row r="130" customFormat="false" ht="15" hidden="false" customHeight="false" outlineLevel="0" collapsed="false">
      <c r="A130" s="10" t="s">
        <v>192</v>
      </c>
      <c r="B130" s="10"/>
      <c r="C130" s="10" t="s">
        <v>193</v>
      </c>
      <c r="D130" s="12"/>
      <c r="E130" s="11" t="n">
        <v>2379757.48</v>
      </c>
      <c r="F130" s="13" t="n">
        <f aca="false">F129-IF(D130="",0,D130)+IF(E130="",0,E130)</f>
        <v>-23488051.11</v>
      </c>
      <c r="G130" s="10" t="s">
        <v>36</v>
      </c>
    </row>
    <row r="131" customFormat="false" ht="15" hidden="false" customHeight="false" outlineLevel="0" collapsed="false">
      <c r="A131" s="10" t="s">
        <v>192</v>
      </c>
      <c r="B131" s="10"/>
      <c r="C131" s="10" t="s">
        <v>194</v>
      </c>
      <c r="D131" s="11" t="n">
        <v>118727.86</v>
      </c>
      <c r="E131" s="12"/>
      <c r="F131" s="13" t="n">
        <f aca="false">F130-IF(D131="",0,D131)+IF(E131="",0,E131)</f>
        <v>-23606778.97</v>
      </c>
      <c r="G131" s="10" t="s">
        <v>36</v>
      </c>
    </row>
    <row r="132" customFormat="false" ht="15" hidden="false" customHeight="false" outlineLevel="0" collapsed="false">
      <c r="A132" s="10" t="s">
        <v>195</v>
      </c>
      <c r="B132" s="10"/>
      <c r="C132" s="10" t="s">
        <v>196</v>
      </c>
      <c r="D132" s="12"/>
      <c r="E132" s="11" t="n">
        <v>152031.74</v>
      </c>
      <c r="F132" s="13" t="n">
        <f aca="false">F131-IF(D132="",0,D132)+IF(E132="",0,E132)</f>
        <v>-23454747.23</v>
      </c>
      <c r="G132" s="10" t="s">
        <v>36</v>
      </c>
    </row>
    <row r="133" customFormat="false" ht="15" hidden="false" customHeight="false" outlineLevel="0" collapsed="false">
      <c r="A133" s="10" t="s">
        <v>197</v>
      </c>
      <c r="B133" s="10"/>
      <c r="C133" s="10" t="s">
        <v>198</v>
      </c>
      <c r="D133" s="11" t="n">
        <v>1158593.64</v>
      </c>
      <c r="E133" s="12"/>
      <c r="F133" s="13" t="n">
        <f aca="false">F132-IF(D133="",0,D133)+IF(E133="",0,E133)</f>
        <v>-24613340.87</v>
      </c>
      <c r="G133" s="10" t="s">
        <v>36</v>
      </c>
    </row>
    <row r="135" customFormat="false" ht="15" hidden="false" customHeight="false" outlineLevel="0" collapsed="false">
      <c r="C135" s="3" t="s">
        <v>199</v>
      </c>
      <c r="D135" s="14" t="n">
        <f aca="false">SUM(D20:D133)</f>
        <v>53292913.55</v>
      </c>
      <c r="E135" s="14" t="n">
        <f aca="false">SUM(E20:E133)</f>
        <v>71051078.93</v>
      </c>
    </row>
    <row r="136" customFormat="false" ht="15" hidden="false" customHeight="false" outlineLevel="0" collapsed="false">
      <c r="C136" s="3" t="s">
        <v>200</v>
      </c>
      <c r="F136" s="15" t="n">
        <f aca="false">F133</f>
        <v>-24613340.87</v>
      </c>
    </row>
    <row r="138" customFormat="false" ht="15" hidden="false" customHeight="false" outlineLevel="0" collapsed="false">
      <c r="A138" s="16" t="s">
        <v>201</v>
      </c>
      <c r="B138" s="16"/>
      <c r="C138" s="16"/>
      <c r="D138" s="16"/>
      <c r="E138" s="16"/>
      <c r="F138" s="16"/>
      <c r="G138" s="16"/>
    </row>
    <row r="139" customFormat="false" ht="15" hidden="false" customHeight="false" outlineLevel="0" collapsed="false">
      <c r="A139" s="16" t="s">
        <v>202</v>
      </c>
      <c r="B139" s="16"/>
      <c r="C139" s="16"/>
      <c r="D139" s="16"/>
      <c r="E139" s="16"/>
      <c r="F139" s="16"/>
      <c r="G139" s="16"/>
    </row>
  </sheetData>
  <mergeCells count="4">
    <mergeCell ref="A1:G1"/>
    <mergeCell ref="A2:G2"/>
    <mergeCell ref="A138:G138"/>
    <mergeCell ref="A139:G1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2026-07-10T07:50:39Z</dcterms:created>
  <dc:creator>openpyxl</dc:creator>
  <dc:description/>
  <dc:language>en-US</dc:language>
  <cp:lastModifiedBy/>
  <dcterms:modified xsi:type="dcterms:W3CDTF">2026-07-10T07:50:39Z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